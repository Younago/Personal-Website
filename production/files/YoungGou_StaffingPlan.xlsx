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ongyin Gou\Desktop\PD\PD Mario\"/>
    </mc:Choice>
  </mc:AlternateContent>
  <xr:revisionPtr revIDLastSave="0" documentId="13_ncr:1_{44814F45-644D-424E-88C2-FBEADE28B12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taff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70" i="1" l="1"/>
  <c r="AW70" i="1"/>
  <c r="AX70" i="1"/>
  <c r="AY70" i="1"/>
  <c r="AZ70" i="1"/>
  <c r="BA70" i="1"/>
  <c r="BB70" i="1"/>
  <c r="BC70" i="1"/>
  <c r="BD70" i="1"/>
  <c r="AW64" i="1"/>
  <c r="AX64" i="1"/>
  <c r="AY64" i="1"/>
  <c r="AZ64" i="1"/>
  <c r="BA64" i="1"/>
  <c r="BB64" i="1"/>
  <c r="BC64" i="1"/>
  <c r="AW65" i="1"/>
  <c r="AX65" i="1"/>
  <c r="AY65" i="1"/>
  <c r="AZ65" i="1"/>
  <c r="BA65" i="1"/>
  <c r="BB65" i="1"/>
  <c r="BC65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BC71" i="1"/>
  <c r="BB71" i="1"/>
  <c r="BA71" i="1"/>
  <c r="AZ71" i="1"/>
  <c r="AY71" i="1"/>
  <c r="AX71" i="1"/>
  <c r="AW71" i="1"/>
  <c r="BC69" i="1"/>
  <c r="BB69" i="1"/>
  <c r="BA69" i="1"/>
  <c r="AZ69" i="1"/>
  <c r="AY69" i="1"/>
  <c r="AX69" i="1"/>
  <c r="AW69" i="1"/>
  <c r="BC68" i="1"/>
  <c r="BB68" i="1"/>
  <c r="BA68" i="1"/>
  <c r="AZ68" i="1"/>
  <c r="AY68" i="1"/>
  <c r="AX68" i="1"/>
  <c r="AW68" i="1"/>
  <c r="BC67" i="1"/>
  <c r="BB67" i="1"/>
  <c r="BA67" i="1"/>
  <c r="AZ67" i="1"/>
  <c r="AY67" i="1"/>
  <c r="AX67" i="1"/>
  <c r="AW67" i="1"/>
  <c r="BC63" i="1"/>
  <c r="BB63" i="1"/>
  <c r="BA63" i="1"/>
  <c r="AZ63" i="1"/>
  <c r="AY63" i="1"/>
  <c r="AX63" i="1"/>
  <c r="AW63" i="1"/>
  <c r="BC62" i="1"/>
  <c r="BB62" i="1"/>
  <c r="BA62" i="1"/>
  <c r="AZ62" i="1"/>
  <c r="AY62" i="1"/>
  <c r="AX62" i="1"/>
  <c r="AW62" i="1"/>
  <c r="BC61" i="1"/>
  <c r="BB61" i="1"/>
  <c r="BA61" i="1"/>
  <c r="AZ61" i="1"/>
  <c r="AY61" i="1"/>
  <c r="AX61" i="1"/>
  <c r="AW61" i="1"/>
  <c r="BC59" i="1"/>
  <c r="BB59" i="1"/>
  <c r="BA59" i="1"/>
  <c r="AZ59" i="1"/>
  <c r="AY59" i="1"/>
  <c r="AX59" i="1"/>
  <c r="AW59" i="1"/>
  <c r="BC58" i="1"/>
  <c r="BB58" i="1"/>
  <c r="BA58" i="1"/>
  <c r="AZ58" i="1"/>
  <c r="AY58" i="1"/>
  <c r="AX58" i="1"/>
  <c r="AW58" i="1"/>
  <c r="BC57" i="1"/>
  <c r="BB57" i="1"/>
  <c r="BA57" i="1"/>
  <c r="AZ57" i="1"/>
  <c r="AY57" i="1"/>
  <c r="AX57" i="1"/>
  <c r="AW57" i="1"/>
  <c r="BC56" i="1"/>
  <c r="BB56" i="1"/>
  <c r="BA56" i="1"/>
  <c r="AZ56" i="1"/>
  <c r="AY56" i="1"/>
  <c r="AX56" i="1"/>
  <c r="AW56" i="1"/>
  <c r="BC55" i="1"/>
  <c r="BB55" i="1"/>
  <c r="BA55" i="1"/>
  <c r="AZ55" i="1"/>
  <c r="AY55" i="1"/>
  <c r="AX55" i="1"/>
  <c r="AW55" i="1"/>
  <c r="BC54" i="1"/>
  <c r="BB54" i="1"/>
  <c r="BA54" i="1"/>
  <c r="AZ54" i="1"/>
  <c r="AY54" i="1"/>
  <c r="AX54" i="1"/>
  <c r="AW54" i="1"/>
  <c r="BC52" i="1"/>
  <c r="BB52" i="1"/>
  <c r="BA52" i="1"/>
  <c r="AZ52" i="1"/>
  <c r="AY52" i="1"/>
  <c r="AX52" i="1"/>
  <c r="AW52" i="1"/>
  <c r="BC51" i="1"/>
  <c r="BB51" i="1"/>
  <c r="BA51" i="1"/>
  <c r="AZ51" i="1"/>
  <c r="AY51" i="1"/>
  <c r="AX51" i="1"/>
  <c r="AW51" i="1"/>
  <c r="BC50" i="1"/>
  <c r="BB50" i="1"/>
  <c r="BA50" i="1"/>
  <c r="AZ50" i="1"/>
  <c r="AY50" i="1"/>
  <c r="AX50" i="1"/>
  <c r="AW50" i="1"/>
  <c r="BC49" i="1"/>
  <c r="BB49" i="1"/>
  <c r="BA49" i="1"/>
  <c r="AZ49" i="1"/>
  <c r="AY49" i="1"/>
  <c r="AX49" i="1"/>
  <c r="AW49" i="1"/>
  <c r="BC48" i="1"/>
  <c r="BB48" i="1"/>
  <c r="BA48" i="1"/>
  <c r="AZ48" i="1"/>
  <c r="AY48" i="1"/>
  <c r="AX48" i="1"/>
  <c r="AW48" i="1"/>
  <c r="BC46" i="1"/>
  <c r="BB46" i="1"/>
  <c r="BA46" i="1"/>
  <c r="AZ46" i="1"/>
  <c r="AY46" i="1"/>
  <c r="AX46" i="1"/>
  <c r="AW46" i="1"/>
  <c r="BC45" i="1"/>
  <c r="BB45" i="1"/>
  <c r="BA45" i="1"/>
  <c r="AZ45" i="1"/>
  <c r="AY45" i="1"/>
  <c r="AX45" i="1"/>
  <c r="AW45" i="1"/>
  <c r="BC44" i="1"/>
  <c r="BB44" i="1"/>
  <c r="BA44" i="1"/>
  <c r="AZ44" i="1"/>
  <c r="AY44" i="1"/>
  <c r="AX44" i="1"/>
  <c r="AW44" i="1"/>
  <c r="BC43" i="1"/>
  <c r="BB43" i="1"/>
  <c r="BA43" i="1"/>
  <c r="AZ43" i="1"/>
  <c r="AY43" i="1"/>
  <c r="AX43" i="1"/>
  <c r="AW43" i="1"/>
  <c r="BC41" i="1"/>
  <c r="BB41" i="1"/>
  <c r="BA41" i="1"/>
  <c r="AZ41" i="1"/>
  <c r="AY41" i="1"/>
  <c r="AX41" i="1"/>
  <c r="AW41" i="1"/>
  <c r="BC40" i="1"/>
  <c r="BB40" i="1"/>
  <c r="BA40" i="1"/>
  <c r="AZ40" i="1"/>
  <c r="AY40" i="1"/>
  <c r="AX40" i="1"/>
  <c r="AW40" i="1"/>
  <c r="BC39" i="1"/>
  <c r="BB39" i="1"/>
  <c r="BA39" i="1"/>
  <c r="AZ39" i="1"/>
  <c r="AY39" i="1"/>
  <c r="AX39" i="1"/>
  <c r="AW39" i="1"/>
  <c r="BC38" i="1"/>
  <c r="BB38" i="1"/>
  <c r="BA38" i="1"/>
  <c r="AZ38" i="1"/>
  <c r="AY38" i="1"/>
  <c r="AX38" i="1"/>
  <c r="AW38" i="1"/>
  <c r="BC36" i="1"/>
  <c r="BB36" i="1"/>
  <c r="BA36" i="1"/>
  <c r="AZ36" i="1"/>
  <c r="AY36" i="1"/>
  <c r="AX36" i="1"/>
  <c r="AW36" i="1"/>
  <c r="BC35" i="1"/>
  <c r="BB35" i="1"/>
  <c r="BA35" i="1"/>
  <c r="AZ35" i="1"/>
  <c r="AY35" i="1"/>
  <c r="AX35" i="1"/>
  <c r="AW35" i="1"/>
  <c r="BC34" i="1"/>
  <c r="BB34" i="1"/>
  <c r="BA34" i="1"/>
  <c r="AZ34" i="1"/>
  <c r="AY34" i="1"/>
  <c r="AX34" i="1"/>
  <c r="AW34" i="1"/>
  <c r="BC33" i="1"/>
  <c r="BB33" i="1"/>
  <c r="BA33" i="1"/>
  <c r="AZ33" i="1"/>
  <c r="AY33" i="1"/>
  <c r="AX33" i="1"/>
  <c r="AW33" i="1"/>
  <c r="BC32" i="1"/>
  <c r="BB32" i="1"/>
  <c r="BA32" i="1"/>
  <c r="AZ32" i="1"/>
  <c r="AY32" i="1"/>
  <c r="AX32" i="1"/>
  <c r="AW32" i="1"/>
  <c r="BC31" i="1"/>
  <c r="BB31" i="1"/>
  <c r="BA31" i="1"/>
  <c r="AZ31" i="1"/>
  <c r="AY31" i="1"/>
  <c r="AX31" i="1"/>
  <c r="AW31" i="1"/>
  <c r="BC29" i="1"/>
  <c r="BB29" i="1"/>
  <c r="BA29" i="1"/>
  <c r="AZ29" i="1"/>
  <c r="AY29" i="1"/>
  <c r="AX29" i="1"/>
  <c r="AW29" i="1"/>
  <c r="BC28" i="1"/>
  <c r="BB28" i="1"/>
  <c r="BA28" i="1"/>
  <c r="AZ28" i="1"/>
  <c r="AY28" i="1"/>
  <c r="AX28" i="1"/>
  <c r="AW28" i="1"/>
  <c r="BC27" i="1"/>
  <c r="BB27" i="1"/>
  <c r="BA27" i="1"/>
  <c r="AZ27" i="1"/>
  <c r="AY27" i="1"/>
  <c r="AX27" i="1"/>
  <c r="AW27" i="1"/>
  <c r="BC25" i="1"/>
  <c r="BB25" i="1"/>
  <c r="BA25" i="1"/>
  <c r="AZ25" i="1"/>
  <c r="AY25" i="1"/>
  <c r="AX25" i="1"/>
  <c r="AW25" i="1"/>
  <c r="BC24" i="1"/>
  <c r="BB24" i="1"/>
  <c r="BA24" i="1"/>
  <c r="AZ24" i="1"/>
  <c r="AY24" i="1"/>
  <c r="AX24" i="1"/>
  <c r="AW24" i="1"/>
  <c r="BC23" i="1"/>
  <c r="BB23" i="1"/>
  <c r="BA23" i="1"/>
  <c r="AZ23" i="1"/>
  <c r="AY23" i="1"/>
  <c r="AX23" i="1"/>
  <c r="AW23" i="1"/>
  <c r="BC22" i="1"/>
  <c r="BB22" i="1"/>
  <c r="BA22" i="1"/>
  <c r="AZ22" i="1"/>
  <c r="AY22" i="1"/>
  <c r="AX22" i="1"/>
  <c r="AW22" i="1"/>
  <c r="BC21" i="1"/>
  <c r="BB21" i="1"/>
  <c r="BA21" i="1"/>
  <c r="AZ21" i="1"/>
  <c r="AY21" i="1"/>
  <c r="AX21" i="1"/>
  <c r="AW21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AW15" i="1" s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AW14" i="1" s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BB13" i="1" s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AW13" i="1" s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AW12" i="1" s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AW11" i="1" s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BB10" i="1" s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AW10" i="1" s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AW8" i="1" s="1"/>
  <c r="AZ12" i="1" l="1"/>
  <c r="BB15" i="1"/>
  <c r="AX14" i="1"/>
  <c r="BD65" i="1"/>
  <c r="BE65" i="1" s="1"/>
  <c r="BB8" i="1"/>
  <c r="BD64" i="1"/>
  <c r="BE64" i="1" s="1"/>
  <c r="BA8" i="1"/>
  <c r="AX8" i="1"/>
  <c r="AX12" i="1"/>
  <c r="AZ8" i="1"/>
  <c r="AY13" i="1"/>
  <c r="AY8" i="1"/>
  <c r="AZ11" i="1"/>
  <c r="AY10" i="1"/>
  <c r="AZ13" i="1"/>
  <c r="BA13" i="1"/>
  <c r="BA10" i="1"/>
  <c r="AY14" i="1"/>
  <c r="BB12" i="1"/>
  <c r="Y85" i="1"/>
  <c r="AX15" i="1"/>
  <c r="BB14" i="1"/>
  <c r="AA16" i="1"/>
  <c r="BB11" i="1"/>
  <c r="AZ15" i="1"/>
  <c r="I16" i="1"/>
  <c r="AG16" i="1"/>
  <c r="Z16" i="1"/>
  <c r="I85" i="1"/>
  <c r="AH85" i="1"/>
  <c r="AX11" i="1"/>
  <c r="J16" i="1"/>
  <c r="AY11" i="1"/>
  <c r="J85" i="1"/>
  <c r="AX13" i="1"/>
  <c r="AZ14" i="1"/>
  <c r="AH16" i="1"/>
  <c r="R85" i="1"/>
  <c r="S16" i="1"/>
  <c r="U16" i="1"/>
  <c r="W85" i="1"/>
  <c r="X16" i="1"/>
  <c r="BA11" i="1"/>
  <c r="BA14" i="1"/>
  <c r="X85" i="1"/>
  <c r="AC16" i="1"/>
  <c r="BC11" i="1"/>
  <c r="AY12" i="1"/>
  <c r="BC14" i="1"/>
  <c r="AY15" i="1"/>
  <c r="BD23" i="1"/>
  <c r="BE23" i="1" s="1"/>
  <c r="BD52" i="1"/>
  <c r="BE52" i="1" s="1"/>
  <c r="AC85" i="1"/>
  <c r="AD16" i="1"/>
  <c r="BD32" i="1"/>
  <c r="BE32" i="1" s="1"/>
  <c r="BD61" i="1"/>
  <c r="BE61" i="1" s="1"/>
  <c r="AD85" i="1"/>
  <c r="AA85" i="1"/>
  <c r="AB16" i="1"/>
  <c r="AB85" i="1"/>
  <c r="AE16" i="1"/>
  <c r="AZ10" i="1"/>
  <c r="BD40" i="1"/>
  <c r="BE40" i="1" s="1"/>
  <c r="AE85" i="1"/>
  <c r="AF16" i="1"/>
  <c r="H85" i="1"/>
  <c r="AF85" i="1"/>
  <c r="Z85" i="1"/>
  <c r="AI16" i="1"/>
  <c r="K85" i="1"/>
  <c r="AI85" i="1"/>
  <c r="L16" i="1"/>
  <c r="AJ16" i="1"/>
  <c r="L85" i="1"/>
  <c r="AJ85" i="1"/>
  <c r="M16" i="1"/>
  <c r="M85" i="1"/>
  <c r="N16" i="1"/>
  <c r="BA12" i="1"/>
  <c r="BA15" i="1"/>
  <c r="N85" i="1"/>
  <c r="O85" i="1"/>
  <c r="P16" i="1"/>
  <c r="P85" i="1"/>
  <c r="O16" i="1"/>
  <c r="Q85" i="1"/>
  <c r="S85" i="1"/>
  <c r="T85" i="1"/>
  <c r="AG85" i="1"/>
  <c r="R16" i="1"/>
  <c r="U85" i="1"/>
  <c r="V16" i="1"/>
  <c r="AX10" i="1"/>
  <c r="V85" i="1"/>
  <c r="BD45" i="1"/>
  <c r="BE45" i="1" s="1"/>
  <c r="BD24" i="1"/>
  <c r="BE24" i="1" s="1"/>
  <c r="BD54" i="1"/>
  <c r="BE54" i="1" s="1"/>
  <c r="BD31" i="1"/>
  <c r="BE31" i="1" s="1"/>
  <c r="BD59" i="1"/>
  <c r="BE59" i="1" s="1"/>
  <c r="BD39" i="1"/>
  <c r="BE39" i="1" s="1"/>
  <c r="BD71" i="1"/>
  <c r="BE71" i="1" s="1"/>
  <c r="BD48" i="1"/>
  <c r="BE48" i="1" s="1"/>
  <c r="BD27" i="1"/>
  <c r="BE27" i="1" s="1"/>
  <c r="BD56" i="1"/>
  <c r="BE56" i="1" s="1"/>
  <c r="BD35" i="1"/>
  <c r="BE35" i="1" s="1"/>
  <c r="BD67" i="1"/>
  <c r="BE67" i="1" s="1"/>
  <c r="BD44" i="1"/>
  <c r="BE44" i="1" s="1"/>
  <c r="AT84" i="1"/>
  <c r="BD49" i="1"/>
  <c r="BE49" i="1" s="1"/>
  <c r="BD28" i="1"/>
  <c r="BE28" i="1" s="1"/>
  <c r="BD57" i="1"/>
  <c r="BE57" i="1" s="1"/>
  <c r="BD36" i="1"/>
  <c r="BE36" i="1" s="1"/>
  <c r="BD68" i="1"/>
  <c r="BE68" i="1" s="1"/>
  <c r="AK16" i="1"/>
  <c r="BD33" i="1"/>
  <c r="BE33" i="1" s="1"/>
  <c r="BC10" i="1"/>
  <c r="BD50" i="1"/>
  <c r="BE50" i="1" s="1"/>
  <c r="AM85" i="1"/>
  <c r="AT81" i="1"/>
  <c r="AT79" i="1"/>
  <c r="BD62" i="1"/>
  <c r="BE62" i="1" s="1"/>
  <c r="AK85" i="1"/>
  <c r="AL16" i="1"/>
  <c r="BD41" i="1"/>
  <c r="BE41" i="1" s="1"/>
  <c r="AL85" i="1"/>
  <c r="AM16" i="1"/>
  <c r="AN16" i="1"/>
  <c r="AX72" i="1"/>
  <c r="BD29" i="1"/>
  <c r="BE29" i="1" s="1"/>
  <c r="AN85" i="1"/>
  <c r="AT80" i="1"/>
  <c r="AO16" i="1"/>
  <c r="BC13" i="1"/>
  <c r="AY72" i="1"/>
  <c r="BD38" i="1"/>
  <c r="BE38" i="1" s="1"/>
  <c r="BD69" i="1"/>
  <c r="BE69" i="1" s="1"/>
  <c r="AO85" i="1"/>
  <c r="AP16" i="1"/>
  <c r="AZ72" i="1"/>
  <c r="BD46" i="1"/>
  <c r="BE46" i="1" s="1"/>
  <c r="BD58" i="1"/>
  <c r="BE58" i="1" s="1"/>
  <c r="AP85" i="1"/>
  <c r="BC15" i="1"/>
  <c r="AT83" i="1"/>
  <c r="BB72" i="1"/>
  <c r="BD63" i="1"/>
  <c r="BE63" i="1" s="1"/>
  <c r="AR85" i="1"/>
  <c r="BD55" i="1"/>
  <c r="BE55" i="1" s="1"/>
  <c r="AT78" i="1"/>
  <c r="AT82" i="1"/>
  <c r="AQ16" i="1"/>
  <c r="BC12" i="1"/>
  <c r="BA72" i="1"/>
  <c r="BD25" i="1"/>
  <c r="BE25" i="1" s="1"/>
  <c r="AQ85" i="1"/>
  <c r="BD34" i="1"/>
  <c r="BE34" i="1" s="1"/>
  <c r="BC72" i="1"/>
  <c r="BD43" i="1"/>
  <c r="BE43" i="1" s="1"/>
  <c r="BD22" i="1"/>
  <c r="BE22" i="1" s="1"/>
  <c r="BD51" i="1"/>
  <c r="BE51" i="1" s="1"/>
  <c r="AT77" i="1"/>
  <c r="G85" i="1"/>
  <c r="AW72" i="1"/>
  <c r="BD21" i="1"/>
  <c r="Y16" i="1"/>
  <c r="BC9" i="1"/>
  <c r="W16" i="1"/>
  <c r="BB9" i="1"/>
  <c r="BA9" i="1"/>
  <c r="T16" i="1"/>
  <c r="Q16" i="1"/>
  <c r="AZ9" i="1"/>
  <c r="K16" i="1"/>
  <c r="AY9" i="1"/>
  <c r="H16" i="1"/>
  <c r="AX9" i="1"/>
  <c r="G16" i="1"/>
  <c r="AW9" i="1"/>
  <c r="AR16" i="1"/>
  <c r="BC8" i="1"/>
  <c r="BB16" i="1" l="1"/>
  <c r="BD13" i="1"/>
  <c r="BD12" i="1"/>
  <c r="BD11" i="1"/>
  <c r="BD9" i="1"/>
  <c r="BD15" i="1"/>
  <c r="AX16" i="1"/>
  <c r="AZ16" i="1"/>
  <c r="BD10" i="1"/>
  <c r="BD14" i="1"/>
  <c r="AY16" i="1"/>
  <c r="AT85" i="1"/>
  <c r="BA16" i="1"/>
  <c r="AW16" i="1"/>
  <c r="BE21" i="1"/>
  <c r="BE72" i="1" s="1"/>
  <c r="BD72" i="1"/>
  <c r="BC16" i="1"/>
  <c r="BD8" i="1"/>
  <c r="BD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Author:
This row is a lookup for the phase of dev.  Don't merge them, but do change them to match the row above</t>
        </r>
      </text>
    </comment>
  </commentList>
</comments>
</file>

<file path=xl/sharedStrings.xml><?xml version="1.0" encoding="utf-8"?>
<sst xmlns="http://schemas.openxmlformats.org/spreadsheetml/2006/main" count="386" uniqueCount="137">
  <si>
    <t>DetectiveFolder - Live-Service Mobile Game</t>
  </si>
  <si>
    <t>Staffing Plan</t>
  </si>
  <si>
    <t>Signing</t>
  </si>
  <si>
    <t>First Playable</t>
  </si>
  <si>
    <t>Alpha</t>
  </si>
  <si>
    <t>Beta</t>
  </si>
  <si>
    <t>RC (Cert / RTM)</t>
  </si>
  <si>
    <t>Release / Live Service</t>
  </si>
  <si>
    <t>Total Man Months Per Phase Per Dept</t>
  </si>
  <si>
    <t>(Catagories)</t>
  </si>
  <si>
    <t>Pre-Production</t>
  </si>
  <si>
    <t>Production</t>
  </si>
  <si>
    <t>RC</t>
  </si>
  <si>
    <t>PM</t>
  </si>
  <si>
    <t>[PROJ. NAME] SCHEDULE</t>
  </si>
  <si>
    <t>TOTAL</t>
  </si>
  <si>
    <t>Art</t>
  </si>
  <si>
    <t>Code</t>
  </si>
  <si>
    <t>Prog</t>
  </si>
  <si>
    <t>Design</t>
  </si>
  <si>
    <t>Level Art</t>
  </si>
  <si>
    <t>UI</t>
  </si>
  <si>
    <t>Aud</t>
  </si>
  <si>
    <t>QA</t>
  </si>
  <si>
    <t>Department</t>
  </si>
  <si>
    <t>Where?</t>
  </si>
  <si>
    <t>Role</t>
  </si>
  <si>
    <t>Employee</t>
  </si>
  <si>
    <t>Cost/Mo.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</si>
  <si>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</si>
  <si>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</si>
  <si>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</si>
  <si>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</si>
  <si>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</si>
  <si>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</si>
  <si>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</si>
  <si>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</si>
  <si>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</si>
  <si>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</si>
  <si>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</si>
  <si>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</si>
  <si>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Per Person Man Months Per Phase</t>
  </si>
  <si>
    <t>Cost per Dev</t>
  </si>
  <si>
    <t>LEADERSHIP / CORE</t>
  </si>
  <si>
    <t>In-house</t>
  </si>
  <si>
    <t>Executive Producer</t>
  </si>
  <si>
    <t>Roland</t>
  </si>
  <si>
    <t>Creative Director</t>
  </si>
  <si>
    <t>Lilith</t>
  </si>
  <si>
    <t>Tech Lead</t>
  </si>
  <si>
    <t>Mordecai</t>
  </si>
  <si>
    <t>Art Director</t>
  </si>
  <si>
    <t>Brick</t>
  </si>
  <si>
    <t>Lead Designer</t>
  </si>
  <si>
    <t>Axton</t>
  </si>
  <si>
    <t>NARRATIVE TEAM</t>
  </si>
  <si>
    <t>Narrative Lead</t>
  </si>
  <si>
    <t>Maya</t>
  </si>
  <si>
    <t>Writer 1</t>
  </si>
  <si>
    <t>Salvador</t>
  </si>
  <si>
    <t>Writer 2</t>
  </si>
  <si>
    <t>Zer0</t>
  </si>
  <si>
    <t>CONTENT TEAM - CREATION STREAM</t>
  </si>
  <si>
    <t>Level Designer A1</t>
  </si>
  <si>
    <t>Krieg</t>
  </si>
  <si>
    <t>Level Designer B1</t>
  </si>
  <si>
    <t>Gaige</t>
  </si>
  <si>
    <t>Environment Artist A1</t>
  </si>
  <si>
    <t>Athena</t>
  </si>
  <si>
    <t>Environment Artist B1</t>
  </si>
  <si>
    <t>Wilhelm</t>
  </si>
  <si>
    <t>Character / Cosmetic Artist 1</t>
  </si>
  <si>
    <t>Nisha</t>
  </si>
  <si>
    <t>Character / Cosmetic Artist 2</t>
  </si>
  <si>
    <t>Claptrap</t>
  </si>
  <si>
    <t>CONTENT TEAM - INTEGRATION STREAM</t>
  </si>
  <si>
    <t>Content Producer</t>
  </si>
  <si>
    <t>Jack</t>
  </si>
  <si>
    <t>Content Programmer 1</t>
  </si>
  <si>
    <t>Aurelia</t>
  </si>
  <si>
    <t>Content Programmer 2</t>
  </si>
  <si>
    <t>Amara</t>
  </si>
  <si>
    <t>Technical Artist</t>
  </si>
  <si>
    <t>FL4K</t>
  </si>
  <si>
    <t>GAMEPLAY TEAM</t>
  </si>
  <si>
    <t>Gameplay Programmer A</t>
  </si>
  <si>
    <t>Moze</t>
  </si>
  <si>
    <t>Gameplay Programmer B</t>
  </si>
  <si>
    <t>Zane Flynt</t>
  </si>
  <si>
    <t>Systems Designer</t>
  </si>
  <si>
    <t>Claptrap (CL4P-TP)</t>
  </si>
  <si>
    <t>Animator</t>
  </si>
  <si>
    <t>Dr. Zed</t>
  </si>
  <si>
    <t>PLATFORM TEAM</t>
  </si>
  <si>
    <t>Backend / Online Programmer</t>
  </si>
  <si>
    <t>Marcus Kincaid</t>
  </si>
  <si>
    <t>Tools Programmer</t>
  </si>
  <si>
    <t>Mad Moxxi</t>
  </si>
  <si>
    <t>UI Programmer</t>
  </si>
  <si>
    <t>Scooter</t>
  </si>
  <si>
    <t>UI Artist</t>
  </si>
  <si>
    <t>Ellie</t>
  </si>
  <si>
    <t>Build / Release Engineer</t>
  </si>
  <si>
    <t>Crazy Earl</t>
  </si>
  <si>
    <t>LIVEOPS TEAM</t>
  </si>
  <si>
    <t>LiveOps Producer</t>
  </si>
  <si>
    <t>Sir Hammerlock</t>
  </si>
  <si>
    <t>Event Designer</t>
  </si>
  <si>
    <t>Tiny Tina</t>
  </si>
  <si>
    <t>Economy Designer</t>
  </si>
  <si>
    <t>Patricia Tannis</t>
  </si>
  <si>
    <t>Event Programmer</t>
  </si>
  <si>
    <t>Mr. Torgue</t>
  </si>
  <si>
    <t>LiveOps UI Artist</t>
  </si>
  <si>
    <t>Ava</t>
  </si>
  <si>
    <t>Data Analyst</t>
  </si>
  <si>
    <t>Vance</t>
  </si>
  <si>
    <t>QA Lead</t>
  </si>
  <si>
    <t>Handsome Jack</t>
  </si>
  <si>
    <t>QA Automation / Test Tools</t>
  </si>
  <si>
    <t>Tyreen Calypso</t>
  </si>
  <si>
    <t>Content / Narrative QA</t>
  </si>
  <si>
    <t>Troy Calypso</t>
  </si>
  <si>
    <t>EXTERNAL VENDORS</t>
  </si>
  <si>
    <t>Outsource</t>
  </si>
  <si>
    <t>Audio Design</t>
  </si>
  <si>
    <t>Vendor</t>
  </si>
  <si>
    <t>Character / Concept Art</t>
  </si>
  <si>
    <t>Marketing Art / Trailer</t>
  </si>
  <si>
    <t>Voice Over</t>
  </si>
  <si>
    <t xml:space="preserve">Staffing Summary </t>
  </si>
  <si>
    <t>Dept</t>
  </si>
  <si>
    <t>Total MM</t>
  </si>
  <si>
    <t>Total</t>
  </si>
  <si>
    <t>Month</t>
  </si>
  <si>
    <t>QA Tester</t>
  </si>
  <si>
    <t>Voice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</si>
</sst>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rgb="FF000000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  <font>
      <sz val="10"/>
      <color rgb="FFFFFFFF"/>
      <name val="Arial"/>
      <family val="2"/>
    </font>
    <font>
      <b/>
      <sz val="16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4"/>
      <name val="Arial"/>
      <family val="2"/>
    </font>
    <font>
      <b/>
      <sz val="9"/>
      <name val="Calibri"/>
    </font>
    <font>
      <b/>
      <sz val="11"/>
      <name val="Calibri"/>
    </font>
    <font>
      <sz val="10"/>
      <color theme="1"/>
      <name val="Arial"/>
      <family val="2"/>
    </font>
    <font>
      <sz val="10"/>
      <color rgb="FF000000"/>
      <name val="Arial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0" tint="-0.34998626667073579"/>
        <bgColor rgb="FFFFD966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B7B7B7"/>
        <bgColor rgb="FFB7B7B7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theme="0" tint="-0.249977111117893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theme="0" tint="-0.249977111117893"/>
        <bgColor rgb="FFB7B7B7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B7B7B7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6" tint="-0.249977111117893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D9D9D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2" fillId="0" borderId="0"/>
    <xf numFmtId="0" fontId="13" fillId="0" borderId="0"/>
    <xf numFmtId="0" fontId="13" fillId="0" borderId="0"/>
  </cellStyleXfs>
  <cellXfs count="76">
    <xf numFmtId="0" fontId="0" fillId="0" borderId="0" xfId="0"/>
    <xf numFmtId="0" fontId="5" fillId="5" borderId="0" xfId="2" applyFont="1" applyFill="1" applyAlignment="1">
      <alignment horizontal="center" wrapText="1"/>
    </xf>
    <xf numFmtId="0" fontId="6" fillId="6" borderId="1" xfId="2" applyFont="1" applyFill="1" applyBorder="1" applyAlignment="1">
      <alignment horizontal="center" wrapText="1"/>
    </xf>
    <xf numFmtId="0" fontId="13" fillId="0" borderId="0" xfId="3"/>
    <xf numFmtId="0" fontId="5" fillId="0" borderId="0" xfId="3" applyFont="1" applyAlignment="1">
      <alignment wrapText="1"/>
    </xf>
    <xf numFmtId="0" fontId="5" fillId="5" borderId="0" xfId="3" applyFont="1" applyFill="1" applyAlignment="1">
      <alignment horizontal="center" wrapText="1"/>
    </xf>
    <xf numFmtId="0" fontId="5" fillId="0" borderId="0" xfId="3" applyFont="1"/>
    <xf numFmtId="0" fontId="5" fillId="0" borderId="0" xfId="3" applyFont="1" applyAlignment="1">
      <alignment horizontal="left" wrapText="1"/>
    </xf>
    <xf numFmtId="0" fontId="3" fillId="0" borderId="0" xfId="3" applyFont="1" applyAlignment="1">
      <alignment wrapText="1"/>
    </xf>
    <xf numFmtId="0" fontId="3" fillId="0" borderId="0" xfId="3" applyFont="1"/>
    <xf numFmtId="0" fontId="6" fillId="0" borderId="0" xfId="3" applyFont="1" applyAlignment="1">
      <alignment wrapText="1"/>
    </xf>
    <xf numFmtId="0" fontId="6" fillId="3" borderId="1" xfId="3" applyFont="1" applyFill="1" applyBorder="1" applyAlignment="1">
      <alignment wrapText="1"/>
    </xf>
    <xf numFmtId="0" fontId="6" fillId="3" borderId="1" xfId="3" applyFont="1" applyFill="1" applyBorder="1" applyAlignment="1">
      <alignment horizontal="left" wrapText="1"/>
    </xf>
    <xf numFmtId="0" fontId="6" fillId="0" borderId="0" xfId="3" applyFont="1" applyAlignment="1">
      <alignment horizontal="center" wrapText="1"/>
    </xf>
    <xf numFmtId="0" fontId="6" fillId="12" borderId="3" xfId="3" applyFont="1" applyFill="1" applyBorder="1" applyAlignment="1">
      <alignment horizontal="center" wrapText="1"/>
    </xf>
    <xf numFmtId="0" fontId="6" fillId="12" borderId="9" xfId="3" applyFont="1" applyFill="1" applyBorder="1" applyAlignment="1">
      <alignment horizontal="center" wrapText="1"/>
    </xf>
    <xf numFmtId="0" fontId="6" fillId="12" borderId="10" xfId="3" applyFont="1" applyFill="1" applyBorder="1" applyAlignment="1">
      <alignment horizontal="center" wrapText="1"/>
    </xf>
    <xf numFmtId="0" fontId="6" fillId="6" borderId="1" xfId="3" applyFont="1" applyFill="1" applyBorder="1" applyAlignment="1">
      <alignment horizontal="center" wrapText="1"/>
    </xf>
    <xf numFmtId="0" fontId="5" fillId="0" borderId="0" xfId="3" applyFont="1" applyAlignment="1">
      <alignment horizontal="right" wrapText="1"/>
    </xf>
    <xf numFmtId="0" fontId="13" fillId="0" borderId="0" xfId="3" applyAlignment="1">
      <alignment horizontal="right" wrapText="1"/>
    </xf>
    <xf numFmtId="0" fontId="13" fillId="0" borderId="0" xfId="3" applyAlignment="1">
      <alignment vertical="center"/>
    </xf>
    <xf numFmtId="0" fontId="5" fillId="0" borderId="0" xfId="3" applyFont="1" applyAlignment="1">
      <alignment vertical="center" wrapText="1"/>
    </xf>
    <xf numFmtId="0" fontId="14" fillId="14" borderId="1" xfId="3" applyFont="1" applyFill="1" applyBorder="1" applyAlignment="1">
      <alignment horizontal="center" vertical="center" wrapText="1"/>
    </xf>
    <xf numFmtId="0" fontId="7" fillId="10" borderId="1" xfId="3" applyFont="1" applyFill="1" applyBorder="1" applyAlignment="1">
      <alignment horizontal="center" vertical="center" wrapText="1"/>
    </xf>
    <xf numFmtId="0" fontId="7" fillId="15" borderId="1" xfId="3" applyFont="1" applyFill="1" applyBorder="1" applyAlignment="1">
      <alignment horizontal="center" vertical="center" wrapText="1"/>
    </xf>
    <xf numFmtId="0" fontId="6" fillId="0" borderId="0" xfId="3" applyFont="1" applyAlignment="1">
      <alignment vertical="center" wrapText="1"/>
    </xf>
    <xf numFmtId="0" fontId="9" fillId="0" borderId="0" xfId="3" applyFont="1" applyAlignment="1">
      <alignment horizontal="right" vertical="center" wrapText="1"/>
    </xf>
    <xf numFmtId="0" fontId="4" fillId="0" borderId="0" xfId="3" applyFont="1" applyAlignment="1">
      <alignment wrapText="1"/>
    </xf>
    <xf numFmtId="0" fontId="5" fillId="0" borderId="0" xfId="3" applyFont="1" applyAlignment="1">
      <alignment horizontal="center" wrapText="1"/>
    </xf>
    <xf numFmtId="0" fontId="6" fillId="0" borderId="0" xfId="3" applyFont="1" applyAlignment="1">
      <alignment horizontal="left" wrapText="1"/>
    </xf>
    <xf numFmtId="0" fontId="6" fillId="0" borderId="5" xfId="3" applyFont="1" applyBorder="1" applyAlignment="1">
      <alignment wrapText="1"/>
    </xf>
    <xf numFmtId="0" fontId="5" fillId="0" borderId="5" xfId="3" applyFont="1" applyBorder="1" applyAlignment="1">
      <alignment wrapText="1"/>
    </xf>
    <xf numFmtId="0" fontId="5" fillId="5" borderId="4" xfId="3" applyFont="1" applyFill="1" applyBorder="1" applyAlignment="1">
      <alignment horizontal="center" wrapText="1"/>
    </xf>
    <xf numFmtId="0" fontId="5" fillId="13" borderId="6" xfId="3" applyFont="1" applyFill="1" applyBorder="1" applyAlignment="1">
      <alignment horizontal="center" wrapText="1"/>
    </xf>
    <xf numFmtId="0" fontId="5" fillId="10" borderId="12" xfId="3" applyFont="1" applyFill="1" applyBorder="1" applyAlignment="1">
      <alignment horizontal="center" wrapText="1"/>
    </xf>
    <xf numFmtId="0" fontId="5" fillId="10" borderId="11" xfId="3" applyFont="1" applyFill="1" applyBorder="1" applyAlignment="1">
      <alignment horizontal="center" wrapText="1"/>
    </xf>
    <xf numFmtId="0" fontId="5" fillId="10" borderId="6" xfId="3" applyFont="1" applyFill="1" applyBorder="1" applyAlignment="1">
      <alignment horizontal="center" wrapText="1"/>
    </xf>
    <xf numFmtId="0" fontId="15" fillId="0" borderId="0" xfId="3" applyFont="1" applyAlignment="1">
      <alignment vertical="center" wrapText="1"/>
    </xf>
    <xf numFmtId="0" fontId="7" fillId="0" borderId="0" xfId="3" applyFont="1" applyAlignment="1">
      <alignment vertical="center" wrapText="1"/>
    </xf>
    <xf numFmtId="0" fontId="8" fillId="8" borderId="0" xfId="3" applyFont="1" applyFill="1" applyAlignment="1">
      <alignment horizontal="center" wrapText="1"/>
    </xf>
    <xf numFmtId="0" fontId="8" fillId="8" borderId="12" xfId="3" applyFont="1" applyFill="1" applyBorder="1" applyAlignment="1">
      <alignment horizontal="center" wrapText="1"/>
    </xf>
    <xf numFmtId="0" fontId="8" fillId="8" borderId="7" xfId="3" applyFont="1" applyFill="1" applyBorder="1" applyAlignment="1">
      <alignment horizontal="center" wrapText="1"/>
    </xf>
    <xf numFmtId="9" fontId="16" fillId="16" borderId="13" xfId="3" applyNumberFormat="1" applyFont="1" applyFill="1" applyBorder="1" applyAlignment="1">
      <alignment horizontal="center" vertical="center"/>
    </xf>
    <xf numFmtId="0" fontId="16" fillId="17" borderId="14" xfId="3" applyFont="1" applyFill="1" applyBorder="1" applyAlignment="1">
      <alignment horizontal="center" vertical="center"/>
    </xf>
    <xf numFmtId="0" fontId="16" fillId="18" borderId="14" xfId="3" applyFont="1" applyFill="1" applyBorder="1" applyAlignment="1">
      <alignment horizontal="center" vertical="center"/>
    </xf>
    <xf numFmtId="0" fontId="16" fillId="19" borderId="14" xfId="3" applyFont="1" applyFill="1" applyBorder="1" applyAlignment="1">
      <alignment horizontal="center" vertical="center"/>
    </xf>
    <xf numFmtId="0" fontId="16" fillId="20" borderId="14" xfId="3" applyFont="1" applyFill="1" applyBorder="1" applyAlignment="1">
      <alignment horizontal="center" vertical="center"/>
    </xf>
    <xf numFmtId="164" fontId="3" fillId="0" borderId="0" xfId="3" applyNumberFormat="1" applyFont="1" applyAlignment="1">
      <alignment horizontal="center" wrapText="1"/>
    </xf>
    <xf numFmtId="164" fontId="11" fillId="0" borderId="0" xfId="3" applyNumberFormat="1" applyFont="1" applyAlignment="1">
      <alignment horizontal="center" wrapText="1"/>
    </xf>
    <xf numFmtId="164" fontId="5" fillId="5" borderId="4" xfId="3" applyNumberFormat="1" applyFont="1" applyFill="1" applyBorder="1" applyAlignment="1">
      <alignment horizontal="center" wrapText="1"/>
    </xf>
    <xf numFmtId="164" fontId="5" fillId="10" borderId="6" xfId="3" applyNumberFormat="1" applyFont="1" applyFill="1" applyBorder="1" applyAlignment="1">
      <alignment horizontal="center" wrapText="1"/>
    </xf>
    <xf numFmtId="3" fontId="5" fillId="0" borderId="0" xfId="3" applyNumberFormat="1" applyFont="1" applyAlignment="1">
      <alignment wrapText="1"/>
    </xf>
    <xf numFmtId="164" fontId="5" fillId="0" borderId="0" xfId="3" applyNumberFormat="1" applyFont="1" applyAlignment="1">
      <alignment wrapText="1"/>
    </xf>
    <xf numFmtId="164" fontId="0" fillId="0" borderId="0" xfId="0" applyNumberFormat="1"/>
    <xf numFmtId="3" fontId="0" fillId="22" borderId="0" xfId="0" applyNumberFormat="1" applyFill="1"/>
    <xf numFmtId="0" fontId="18" fillId="0" borderId="0" xfId="0" applyFont="1"/>
    <xf numFmtId="164" fontId="19" fillId="0" borderId="0" xfId="0" applyNumberFormat="1" applyFont="1" applyAlignment="1">
      <alignment horizontal="center" wrapText="1"/>
    </xf>
    <xf numFmtId="0" fontId="8" fillId="11" borderId="13" xfId="3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0" fillId="7" borderId="8" xfId="3" applyFont="1" applyFill="1" applyBorder="1" applyAlignment="1">
      <alignment horizontal="center" wrapText="1"/>
    </xf>
    <xf numFmtId="0" fontId="13" fillId="0" borderId="0" xfId="3"/>
    <xf numFmtId="0" fontId="0" fillId="0" borderId="12" xfId="0" applyBorder="1"/>
    <xf numFmtId="9" fontId="16" fillId="16" borderId="13" xfId="3" applyNumberFormat="1" applyFont="1" applyFill="1" applyBorder="1" applyAlignment="1">
      <alignment horizontal="center" vertical="center"/>
    </xf>
    <xf numFmtId="0" fontId="17" fillId="21" borderId="0" xfId="3" applyFont="1" applyFill="1" applyAlignment="1">
      <alignment horizontal="left" vertical="center"/>
    </xf>
    <xf numFmtId="0" fontId="10" fillId="9" borderId="12" xfId="3" applyFont="1" applyFill="1" applyBorder="1" applyAlignment="1">
      <alignment horizontal="center" wrapText="1"/>
    </xf>
    <xf numFmtId="0" fontId="12" fillId="2" borderId="0" xfId="2" applyFont="1" applyFill="1" applyAlignment="1">
      <alignment horizontal="center" vertical="center" wrapText="1"/>
    </xf>
    <xf numFmtId="0" fontId="10" fillId="9" borderId="8" xfId="3" applyFont="1" applyFill="1" applyBorder="1" applyAlignment="1">
      <alignment horizontal="center" wrapText="1"/>
    </xf>
    <xf numFmtId="9" fontId="16" fillId="23" borderId="13" xfId="3" applyNumberFormat="1" applyFont="1" applyFill="1" applyBorder="1" applyAlignment="1">
      <alignment horizontal="center" vertical="center"/>
    </xf>
    <xf numFmtId="0" fontId="3" fillId="0" borderId="0" xfId="3" applyFont="1"/>
    <xf numFmtId="0" fontId="6" fillId="11" borderId="13" xfId="3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9" fontId="16" fillId="25" borderId="13" xfId="3" applyNumberFormat="1" applyFont="1" applyFill="1" applyBorder="1" applyAlignment="1">
      <alignment horizontal="center" vertical="center"/>
    </xf>
    <xf numFmtId="9" fontId="16" fillId="26" borderId="13" xfId="3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9" fontId="16" fillId="24" borderId="13" xfId="3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2" xr:uid="{00000000-0005-0000-0000-000002000000}"/>
    <cellStyle name="Normal 3" xfId="3" xr:uid="{00000000-0005-0000-0000-000003000000}"/>
    <cellStyle name="Normal 4" xfId="1" xr:uid="{00000000-0005-0000-0000-000001000000}"/>
  </cellStyles>
  <dxfs count="6">
    <dxf>
      <fill>
        <patternFill patternType="solid">
          <fgColor rgb="FF4A86E8"/>
          <bgColor rgb="FF4A86E8"/>
        </patternFill>
      </fill>
      <alignment wrapText="1"/>
      <border>
        <left/>
        <right/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4A86E8"/>
        </patternFill>
      </fill>
      <border diagonalUp="0" diagonalDown="0">
        <left/>
        <right/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Headcount Over Time 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Total Headcount</c:v>
          </c:tx>
          <c:spPr>
            <a:ln w="20000"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Staffing!$G$87:$AR$87</c:f>
              <c:strCache>
                <c:ptCount val="38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  <c:pt idx="10">
                  <c:v>May</c:v>
                </c:pt>
                <c:pt idx="11">
                  <c:v>Jun</c:v>
                </c:pt>
                <c:pt idx="12">
                  <c:v>Jul</c:v>
                </c:pt>
                <c:pt idx="13">
                  <c:v>Aug</c:v>
                </c:pt>
                <c:pt idx="14">
                  <c:v>Sep</c:v>
                </c:pt>
                <c:pt idx="15">
                  <c:v>Oct</c:v>
                </c:pt>
                <c:pt idx="16">
                  <c:v>Nov</c:v>
                </c:pt>
                <c:pt idx="17">
                  <c:v>Dec</c:v>
                </c:pt>
                <c:pt idx="18">
                  <c:v>Jan</c:v>
                </c:pt>
                <c:pt idx="19">
                  <c:v>Feb</c:v>
                </c:pt>
                <c:pt idx="20">
                  <c:v>Mar</c:v>
                </c:pt>
                <c:pt idx="21">
                  <c:v>Apr</c:v>
                </c:pt>
                <c:pt idx="22">
                  <c:v>May</c:v>
                </c:pt>
                <c:pt idx="23">
                  <c:v>Jun</c:v>
                </c:pt>
                <c:pt idx="24">
                  <c:v>Jul</c:v>
                </c:pt>
                <c:pt idx="25">
                  <c:v>Aug</c:v>
                </c:pt>
                <c:pt idx="26">
                  <c:v>Sep</c:v>
                </c:pt>
                <c:pt idx="27">
                  <c:v>Oct</c:v>
                </c:pt>
                <c:pt idx="28">
                  <c:v>Nov</c:v>
                </c:pt>
                <c:pt idx="29">
                  <c:v>Dec</c:v>
                </c:pt>
                <c:pt idx="30">
                  <c:v>Jan</c:v>
                </c:pt>
                <c:pt idx="31">
                  <c:v>Feb</c:v>
                </c:pt>
                <c:pt idx="32">
                  <c:v>Mar</c:v>
                </c:pt>
                <c:pt idx="33">
                  <c:v>Apr</c:v>
                </c:pt>
                <c:pt idx="34">
                  <c:v>May</c:v>
                </c:pt>
                <c:pt idx="35">
                  <c:v>Jun</c:v>
                </c:pt>
                <c:pt idx="36">
                  <c:v>Jul</c:v>
                </c:pt>
                <c:pt idx="37">
                  <c:v>Aug</c:v>
                </c:pt>
              </c:strCache>
            </c:strRef>
          </c:cat>
          <c:val>
            <c:numRef>
              <c:f>Staffing!$G$85:$AR$85</c:f>
              <c:numCache>
                <c:formatCode>General</c:formatCode>
                <c:ptCount val="38"/>
                <c:pt idx="0">
                  <c:v>3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23.5</c:v>
                </c:pt>
                <c:pt idx="5">
                  <c:v>23.5</c:v>
                </c:pt>
                <c:pt idx="6">
                  <c:v>23.5</c:v>
                </c:pt>
                <c:pt idx="7">
                  <c:v>23.5</c:v>
                </c:pt>
                <c:pt idx="8">
                  <c:v>23.5</c:v>
                </c:pt>
                <c:pt idx="9">
                  <c:v>23.5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38.5</c:v>
                </c:pt>
                <c:pt idx="14">
                  <c:v>38.5</c:v>
                </c:pt>
                <c:pt idx="15">
                  <c:v>38.5</c:v>
                </c:pt>
                <c:pt idx="16">
                  <c:v>38</c:v>
                </c:pt>
                <c:pt idx="17">
                  <c:v>38</c:v>
                </c:pt>
                <c:pt idx="18">
                  <c:v>35.5</c:v>
                </c:pt>
                <c:pt idx="19">
                  <c:v>30.5</c:v>
                </c:pt>
                <c:pt idx="20">
                  <c:v>30.5</c:v>
                </c:pt>
                <c:pt idx="21">
                  <c:v>27.5</c:v>
                </c:pt>
                <c:pt idx="22">
                  <c:v>22.5</c:v>
                </c:pt>
                <c:pt idx="23">
                  <c:v>22.5</c:v>
                </c:pt>
                <c:pt idx="24">
                  <c:v>27.5</c:v>
                </c:pt>
                <c:pt idx="25">
                  <c:v>22.5</c:v>
                </c:pt>
                <c:pt idx="26">
                  <c:v>22.5</c:v>
                </c:pt>
                <c:pt idx="27">
                  <c:v>27.5</c:v>
                </c:pt>
                <c:pt idx="28">
                  <c:v>22.5</c:v>
                </c:pt>
                <c:pt idx="29">
                  <c:v>22.5</c:v>
                </c:pt>
                <c:pt idx="30">
                  <c:v>27</c:v>
                </c:pt>
                <c:pt idx="31">
                  <c:v>22</c:v>
                </c:pt>
                <c:pt idx="32">
                  <c:v>22</c:v>
                </c:pt>
                <c:pt idx="33">
                  <c:v>27</c:v>
                </c:pt>
                <c:pt idx="34">
                  <c:v>22</c:v>
                </c:pt>
                <c:pt idx="35">
                  <c:v>22</c:v>
                </c:pt>
                <c:pt idx="36">
                  <c:v>27</c:v>
                </c:pt>
                <c:pt idx="37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14-40ED-B565-43EF787F0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Headcount (FTE)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1047750</xdr:colOff>
      <xdr:row>87</xdr:row>
      <xdr:rowOff>156777</xdr:rowOff>
    </xdr:from>
    <xdr:ext cx="23798893" cy="69053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E949"/>
  <sheetViews>
    <sheetView tabSelected="1" topLeftCell="A35" zoomScale="55" zoomScaleNormal="55" workbookViewId="0">
      <selection activeCell="O71" sqref="O71"/>
    </sheetView>
  </sheetViews>
  <sheetFormatPr defaultColWidth="17.26953125" defaultRowHeight="12.5" x14ac:dyDescent="0.25"/>
  <cols>
    <col min="1" max="1" width="1.81640625" style="3" customWidth="1"/>
    <col min="2" max="2" width="11.81640625" style="3" customWidth="1"/>
    <col min="3" max="3" width="8.7265625" style="3" customWidth="1"/>
    <col min="4" max="4" width="26.81640625" style="3" customWidth="1"/>
    <col min="5" max="6" width="18.7265625" style="3" customWidth="1"/>
    <col min="7" max="7" width="8.7265625" style="3" customWidth="1"/>
    <col min="8" max="8" width="7.453125" style="3" customWidth="1"/>
    <col min="9" max="10" width="8.7265625" style="3" customWidth="1"/>
    <col min="11" max="11" width="11.7265625" style="3" customWidth="1"/>
    <col min="12" max="16" width="10.26953125" style="3" customWidth="1"/>
    <col min="17" max="44" width="8.7265625" style="3" customWidth="1"/>
    <col min="45" max="45" width="5.1796875" style="3" customWidth="1"/>
    <col min="46" max="46" width="11" style="3" customWidth="1"/>
    <col min="47" max="47" width="13.7265625" style="3" customWidth="1"/>
    <col min="48" max="48" width="8.453125" style="3" customWidth="1"/>
    <col min="49" max="57" width="10.7265625" style="3" customWidth="1"/>
    <col min="58" max="59" width="17.26953125" style="3" customWidth="1"/>
    <col min="60" max="16384" width="17.26953125" style="3"/>
  </cols>
  <sheetData>
    <row r="2" spans="2:57" ht="46" customHeight="1" x14ac:dyDescent="1">
      <c r="B2" s="71" t="s">
        <v>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</row>
    <row r="3" spans="2:57" ht="14.5" customHeight="1" x14ac:dyDescent="0.35">
      <c r="B3" s="74" t="s">
        <v>1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</row>
    <row r="5" spans="2:57" ht="12.75" customHeight="1" x14ac:dyDescent="0.35">
      <c r="B5" s="27"/>
      <c r="C5" s="4"/>
      <c r="D5" s="25"/>
      <c r="E5" s="25"/>
      <c r="F5" s="25"/>
      <c r="G5" s="42" t="s">
        <v>2</v>
      </c>
      <c r="H5" s="63" t="s">
        <v>3</v>
      </c>
      <c r="I5" s="58"/>
      <c r="J5" s="58"/>
      <c r="K5" s="58"/>
      <c r="L5" s="58"/>
      <c r="M5" s="58"/>
      <c r="N5" s="58"/>
      <c r="O5" s="58"/>
      <c r="P5" s="59"/>
      <c r="Q5" s="75" t="s">
        <v>4</v>
      </c>
      <c r="R5" s="58"/>
      <c r="S5" s="59"/>
      <c r="T5" s="68" t="s">
        <v>5</v>
      </c>
      <c r="U5" s="58"/>
      <c r="V5" s="59"/>
      <c r="W5" s="72" t="s">
        <v>6</v>
      </c>
      <c r="X5" s="59"/>
      <c r="Y5" s="73" t="s">
        <v>7</v>
      </c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9"/>
      <c r="AS5" s="4"/>
      <c r="AW5" s="57" t="s">
        <v>8</v>
      </c>
      <c r="AX5" s="58"/>
      <c r="AY5" s="58"/>
      <c r="AZ5" s="58"/>
      <c r="BA5" s="58"/>
      <c r="BB5" s="58"/>
      <c r="BC5" s="58"/>
      <c r="BD5" s="59"/>
      <c r="BE5" s="4"/>
    </row>
    <row r="6" spans="2:57" s="20" customFormat="1" ht="18" customHeight="1" x14ac:dyDescent="0.35">
      <c r="B6" s="21"/>
      <c r="C6" s="21"/>
      <c r="D6" s="26" t="s">
        <v>9</v>
      </c>
      <c r="E6" s="26"/>
      <c r="F6" s="37"/>
      <c r="G6" s="43" t="s">
        <v>2</v>
      </c>
      <c r="H6" s="44" t="s">
        <v>10</v>
      </c>
      <c r="I6" s="44" t="s">
        <v>10</v>
      </c>
      <c r="J6" s="44" t="s">
        <v>10</v>
      </c>
      <c r="K6" s="45" t="s">
        <v>11</v>
      </c>
      <c r="L6" s="45" t="s">
        <v>11</v>
      </c>
      <c r="M6" s="45" t="s">
        <v>11</v>
      </c>
      <c r="N6" s="45" t="s">
        <v>11</v>
      </c>
      <c r="O6" s="45" t="s">
        <v>11</v>
      </c>
      <c r="P6" s="45" t="s">
        <v>11</v>
      </c>
      <c r="Q6" s="45" t="s">
        <v>4</v>
      </c>
      <c r="R6" s="45" t="s">
        <v>4</v>
      </c>
      <c r="S6" s="45" t="s">
        <v>4</v>
      </c>
      <c r="T6" s="45" t="s">
        <v>5</v>
      </c>
      <c r="U6" s="45" t="s">
        <v>5</v>
      </c>
      <c r="V6" s="45" t="s">
        <v>5</v>
      </c>
      <c r="W6" s="46" t="s">
        <v>12</v>
      </c>
      <c r="X6" s="46" t="s">
        <v>12</v>
      </c>
      <c r="Y6" s="46" t="s">
        <v>13</v>
      </c>
      <c r="Z6" s="46" t="s">
        <v>13</v>
      </c>
      <c r="AA6" s="46" t="s">
        <v>13</v>
      </c>
      <c r="AB6" s="46" t="s">
        <v>13</v>
      </c>
      <c r="AC6" s="46" t="s">
        <v>13</v>
      </c>
      <c r="AD6" s="46" t="s">
        <v>13</v>
      </c>
      <c r="AE6" s="46" t="s">
        <v>13</v>
      </c>
      <c r="AF6" s="46" t="s">
        <v>13</v>
      </c>
      <c r="AG6" s="46" t="s">
        <v>13</v>
      </c>
      <c r="AH6" s="46" t="s">
        <v>13</v>
      </c>
      <c r="AI6" s="46" t="s">
        <v>13</v>
      </c>
      <c r="AJ6" s="46" t="s">
        <v>13</v>
      </c>
      <c r="AK6" s="46" t="s">
        <v>13</v>
      </c>
      <c r="AL6" s="46" t="s">
        <v>13</v>
      </c>
      <c r="AM6" s="46" t="s">
        <v>13</v>
      </c>
      <c r="AN6" s="46" t="s">
        <v>13</v>
      </c>
      <c r="AO6" s="46" t="s">
        <v>13</v>
      </c>
      <c r="AP6" s="46" t="s">
        <v>13</v>
      </c>
      <c r="AQ6" s="46" t="s">
        <v>13</v>
      </c>
      <c r="AR6" s="46" t="s">
        <v>13</v>
      </c>
      <c r="AS6" s="21"/>
      <c r="BE6" s="21"/>
    </row>
    <row r="7" spans="2:57" s="20" customFormat="1" ht="25.5" customHeight="1" x14ac:dyDescent="0.25">
      <c r="B7" s="21"/>
      <c r="C7" s="21"/>
      <c r="D7" s="38" t="s">
        <v>14</v>
      </c>
      <c r="E7" s="25"/>
      <c r="F7" s="25"/>
      <c r="G7" s="25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21"/>
      <c r="AW7" s="23" t="s">
        <v>2</v>
      </c>
      <c r="AX7" s="24" t="s">
        <v>10</v>
      </c>
      <c r="AY7" s="23" t="s">
        <v>11</v>
      </c>
      <c r="AZ7" s="23" t="s">
        <v>4</v>
      </c>
      <c r="BA7" s="23" t="s">
        <v>5</v>
      </c>
      <c r="BB7" s="23" t="s">
        <v>12</v>
      </c>
      <c r="BC7" s="23" t="s">
        <v>13</v>
      </c>
      <c r="BD7" s="22" t="s">
        <v>15</v>
      </c>
      <c r="BE7" s="21"/>
    </row>
    <row r="8" spans="2:57" x14ac:dyDescent="0.25">
      <c r="B8" s="4"/>
      <c r="C8" s="4"/>
      <c r="E8" s="18" t="s">
        <v>16</v>
      </c>
      <c r="F8" s="18"/>
      <c r="G8" s="5">
        <f>SUMIF($B$20:$B$71,$E8,G$20:G$71)</f>
        <v>0.5</v>
      </c>
      <c r="H8" s="5">
        <f>SUMIF($B$20:$B$71,$E8,H$20:H$71)</f>
        <v>1</v>
      </c>
      <c r="I8" s="5">
        <f>SUMIF($B$20:$B$71,$E8,I$20:I$71)</f>
        <v>1</v>
      </c>
      <c r="J8" s="5">
        <f>SUMIF($B$20:$B$71,$E8,J$20:J$71)</f>
        <v>1</v>
      </c>
      <c r="K8" s="5">
        <f>SUMIF($B$20:$B$71,$E8,K$20:K$71)</f>
        <v>4</v>
      </c>
      <c r="L8" s="5">
        <f>SUMIF($B$20:$B$71,$E8,L$20:L$71)</f>
        <v>4</v>
      </c>
      <c r="M8" s="5">
        <f>SUMIF($B$20:$B$71,$E8,M$20:M$71)</f>
        <v>4</v>
      </c>
      <c r="N8" s="5">
        <f>SUMIF($B$20:$B$71,$E8,N$20:N$71)</f>
        <v>4</v>
      </c>
      <c r="O8" s="5">
        <f>SUMIF($B$20:$B$71,$E8,O$20:O$71)</f>
        <v>4</v>
      </c>
      <c r="P8" s="5">
        <f>SUMIF($B$20:$B$71,$E8,P$20:P$71)</f>
        <v>4</v>
      </c>
      <c r="Q8" s="5">
        <f>SUMIF($B$20:$B$71,$E8,Q$20:Q$71)</f>
        <v>4.5</v>
      </c>
      <c r="R8" s="5">
        <f>SUMIF($B$20:$B$71,$E8,R$20:R$71)</f>
        <v>4.5</v>
      </c>
      <c r="S8" s="5">
        <f>SUMIF($B$20:$B$71,$E8,S$20:S$71)</f>
        <v>4.5</v>
      </c>
      <c r="T8" s="5">
        <f>SUMIF($B$20:$B$71,$E8,T$20:T$71)</f>
        <v>6.5</v>
      </c>
      <c r="U8" s="5">
        <f>SUMIF($B$20:$B$71,$E8,U$20:U$71)</f>
        <v>6.5</v>
      </c>
      <c r="V8" s="5">
        <f>SUMIF($B$20:$B$71,$E8,V$20:V$71)</f>
        <v>6.5</v>
      </c>
      <c r="W8" s="5">
        <f>SUMIF($B$20:$B$71,$E8,W$20:W$71)</f>
        <v>6</v>
      </c>
      <c r="X8" s="5">
        <f>SUMIF($B$20:$B$71,$E8,X$20:X$71)</f>
        <v>6</v>
      </c>
      <c r="Y8" s="5">
        <f>SUMIF($B$20:$B$71,$E8,Y$20:Y$71)</f>
        <v>5.5</v>
      </c>
      <c r="Z8" s="5">
        <f>SUMIF($B$20:$B$71,$E8,Z$20:Z$71)</f>
        <v>3.5</v>
      </c>
      <c r="AA8" s="5">
        <f>SUMIF($B$20:$B$71,$E8,AA$20:AA$71)</f>
        <v>3.5</v>
      </c>
      <c r="AB8" s="5">
        <f>SUMIF($B$20:$B$71,$E8,AB$20:AB$71)</f>
        <v>5.5</v>
      </c>
      <c r="AC8" s="5">
        <f>SUMIF($B$20:$B$71,$E8,AC$20:AC$71)</f>
        <v>3.5</v>
      </c>
      <c r="AD8" s="5">
        <f>SUMIF($B$20:$B$71,$E8,AD$20:AD$71)</f>
        <v>3.5</v>
      </c>
      <c r="AE8" s="5">
        <f>SUMIF($B$20:$B$71,$E8,AE$20:AE$71)</f>
        <v>5.5</v>
      </c>
      <c r="AF8" s="5">
        <f>SUMIF($B$20:$B$71,$E8,AF$20:AF$71)</f>
        <v>3.5</v>
      </c>
      <c r="AG8" s="5">
        <f>SUMIF($B$20:$B$71,$E8,AG$20:AG$71)</f>
        <v>3.5</v>
      </c>
      <c r="AH8" s="5">
        <f>SUMIF($B$20:$B$71,$E8,AH$20:AH$71)</f>
        <v>5.5</v>
      </c>
      <c r="AI8" s="5">
        <f>SUMIF($B$20:$B$71,$E8,AI$20:AI$71)</f>
        <v>3.5</v>
      </c>
      <c r="AJ8" s="5">
        <f>SUMIF($B$20:$B$71,$E8,AJ$20:AJ$71)</f>
        <v>3.5</v>
      </c>
      <c r="AK8" s="5">
        <f>SUMIF($B$20:$B$71,$E8,AK$20:AK$71)</f>
        <v>5.5</v>
      </c>
      <c r="AL8" s="5">
        <f>SUMIF($B$20:$B$71,$E8,AL$20:AL$71)</f>
        <v>3.5</v>
      </c>
      <c r="AM8" s="5">
        <f>SUMIF($B$20:$B$71,$E8,AM$20:AM$71)</f>
        <v>3.5</v>
      </c>
      <c r="AN8" s="5">
        <f>SUMIF($B$20:$B$71,$E8,AN$20:AN$71)</f>
        <v>5.5</v>
      </c>
      <c r="AO8" s="5">
        <f>SUMIF($B$20:$B$71,$E8,AO$20:AO$71)</f>
        <v>3.5</v>
      </c>
      <c r="AP8" s="5">
        <f>SUMIF($B$20:$B$71,$E8,AP$20:AP$71)</f>
        <v>3.5</v>
      </c>
      <c r="AQ8" s="5">
        <f>SUMIF($B$20:$B$71,$E8,AQ$20:AQ$71)</f>
        <v>5.5</v>
      </c>
      <c r="AR8" s="5">
        <f>SUMIF($B$20:$B$71,$E8,AR$20:AR$71)</f>
        <v>3.5</v>
      </c>
      <c r="AS8" s="4"/>
      <c r="AW8" s="32">
        <f t="shared" ref="AW8:BC15" si="0">SUMIF($G$6:$AR$6,AW$7,$G8:$AR8)</f>
        <v>0.5</v>
      </c>
      <c r="AX8" s="32">
        <f t="shared" si="0"/>
        <v>3</v>
      </c>
      <c r="AY8" s="32">
        <f t="shared" si="0"/>
        <v>24</v>
      </c>
      <c r="AZ8" s="32">
        <f t="shared" si="0"/>
        <v>13.5</v>
      </c>
      <c r="BA8" s="32">
        <f t="shared" si="0"/>
        <v>19.5</v>
      </c>
      <c r="BB8" s="32">
        <f t="shared" si="0"/>
        <v>12</v>
      </c>
      <c r="BC8" s="32">
        <f t="shared" si="0"/>
        <v>84</v>
      </c>
      <c r="BD8" s="33">
        <f t="shared" ref="BD8:BD15" si="1">SUM(AW8:BC8)</f>
        <v>156.5</v>
      </c>
      <c r="BE8" s="7" t="s">
        <v>16</v>
      </c>
    </row>
    <row r="9" spans="2:57" x14ac:dyDescent="0.25">
      <c r="B9" s="4"/>
      <c r="C9" s="4"/>
      <c r="E9" s="19" t="s">
        <v>17</v>
      </c>
      <c r="F9" s="19"/>
      <c r="G9" s="5">
        <f>SUMIF($B$20:$B$71,$E9,G$20:G$71)</f>
        <v>0.5</v>
      </c>
      <c r="H9" s="5">
        <f>SUMIF($B$20:$B$71,$E9,H$20:H$71)</f>
        <v>2</v>
      </c>
      <c r="I9" s="5">
        <f>SUMIF($B$20:$B$71,$E9,I$20:I$71)</f>
        <v>2</v>
      </c>
      <c r="J9" s="5">
        <f>SUMIF($B$20:$B$71,$E9,J$20:J$71)</f>
        <v>2</v>
      </c>
      <c r="K9" s="5">
        <f>SUMIF($B$20:$B$71,$E9,K$20:K$71)</f>
        <v>7.5</v>
      </c>
      <c r="L9" s="5">
        <f>SUMIF($B$20:$B$71,$E9,L$20:L$71)</f>
        <v>7.5</v>
      </c>
      <c r="M9" s="5">
        <f>SUMIF($B$20:$B$71,$E9,M$20:M$71)</f>
        <v>7.5</v>
      </c>
      <c r="N9" s="5">
        <f>SUMIF($B$20:$B$71,$E9,N$20:N$71)</f>
        <v>7.5</v>
      </c>
      <c r="O9" s="5">
        <f>SUMIF($B$20:$B$71,$E9,O$20:O$71)</f>
        <v>7.5</v>
      </c>
      <c r="P9" s="5">
        <f>SUMIF($B$20:$B$71,$E9,P$20:P$71)</f>
        <v>7.5</v>
      </c>
      <c r="Q9" s="5">
        <f>SUMIF($B$20:$B$71,$E9,Q$20:Q$71)</f>
        <v>7.5</v>
      </c>
      <c r="R9" s="5">
        <f>SUMIF($B$20:$B$71,$E9,R$20:R$71)</f>
        <v>7.5</v>
      </c>
      <c r="S9" s="5">
        <f>SUMIF($B$20:$B$71,$E9,S$20:S$71)</f>
        <v>7.5</v>
      </c>
      <c r="T9" s="5">
        <f>SUMIF($B$20:$B$71,$E9,T$20:T$71)</f>
        <v>9.5</v>
      </c>
      <c r="U9" s="5">
        <f>SUMIF($B$20:$B$71,$E9,U$20:U$71)</f>
        <v>9.5</v>
      </c>
      <c r="V9" s="5">
        <f>SUMIF($B$20:$B$71,$E9,V$20:V$71)</f>
        <v>9.5</v>
      </c>
      <c r="W9" s="5">
        <f>SUMIF($B$20:$B$71,$E9,W$20:W$71)</f>
        <v>10</v>
      </c>
      <c r="X9" s="5">
        <f>SUMIF($B$20:$B$71,$E9,X$20:X$71)</f>
        <v>10</v>
      </c>
      <c r="Y9" s="5">
        <f>SUMIF($B$20:$B$71,$E9,Y$20:Y$71)</f>
        <v>7.5</v>
      </c>
      <c r="Z9" s="5">
        <f>SUMIF($B$20:$B$71,$E9,Z$20:Z$71)</f>
        <v>7.5</v>
      </c>
      <c r="AA9" s="5">
        <f>SUMIF($B$20:$B$71,$E9,AA$20:AA$71)</f>
        <v>7.5</v>
      </c>
      <c r="AB9" s="5">
        <f>SUMIF($B$20:$B$71,$E9,AB$20:AB$71)</f>
        <v>3.5</v>
      </c>
      <c r="AC9" s="5">
        <f>SUMIF($B$20:$B$71,$E9,AC$20:AC$71)</f>
        <v>3.5</v>
      </c>
      <c r="AD9" s="5">
        <f>SUMIF($B$20:$B$71,$E9,AD$20:AD$71)</f>
        <v>3.5</v>
      </c>
      <c r="AE9" s="5">
        <f>SUMIF($B$20:$B$71,$E9,AE$20:AE$71)</f>
        <v>3.5</v>
      </c>
      <c r="AF9" s="5">
        <f>SUMIF($B$20:$B$71,$E9,AF$20:AF$71)</f>
        <v>3.5</v>
      </c>
      <c r="AG9" s="5">
        <f>SUMIF($B$20:$B$71,$E9,AG$20:AG$71)</f>
        <v>3.5</v>
      </c>
      <c r="AH9" s="5">
        <f>SUMIF($B$20:$B$71,$E9,AH$20:AH$71)</f>
        <v>3.5</v>
      </c>
      <c r="AI9" s="5">
        <f>SUMIF($B$20:$B$71,$E9,AI$20:AI$71)</f>
        <v>3.5</v>
      </c>
      <c r="AJ9" s="5">
        <f>SUMIF($B$20:$B$71,$E9,AJ$20:AJ$71)</f>
        <v>3.5</v>
      </c>
      <c r="AK9" s="5">
        <f>SUMIF($B$20:$B$71,$E9,AK$20:AK$71)</f>
        <v>3.5</v>
      </c>
      <c r="AL9" s="5">
        <f>SUMIF($B$20:$B$71,$E9,AL$20:AL$71)</f>
        <v>3.5</v>
      </c>
      <c r="AM9" s="5">
        <f>SUMIF($B$20:$B$71,$E9,AM$20:AM$71)</f>
        <v>3.5</v>
      </c>
      <c r="AN9" s="5">
        <f>SUMIF($B$20:$B$71,$E9,AN$20:AN$71)</f>
        <v>3.5</v>
      </c>
      <c r="AO9" s="5">
        <f>SUMIF($B$20:$B$71,$E9,AO$20:AO$71)</f>
        <v>3.5</v>
      </c>
      <c r="AP9" s="5">
        <f>SUMIF($B$20:$B$71,$E9,AP$20:AP$71)</f>
        <v>3.5</v>
      </c>
      <c r="AQ9" s="5">
        <f>SUMIF($B$20:$B$71,$E9,AQ$20:AQ$71)</f>
        <v>3.5</v>
      </c>
      <c r="AR9" s="5">
        <f>SUMIF($B$20:$B$71,$E9,AR$20:AR$71)</f>
        <v>3.5</v>
      </c>
      <c r="AS9" s="4"/>
      <c r="AW9" s="32">
        <f t="shared" si="0"/>
        <v>0.5</v>
      </c>
      <c r="AX9" s="32">
        <f t="shared" si="0"/>
        <v>6</v>
      </c>
      <c r="AY9" s="32">
        <f t="shared" si="0"/>
        <v>45</v>
      </c>
      <c r="AZ9" s="32">
        <f t="shared" si="0"/>
        <v>22.5</v>
      </c>
      <c r="BA9" s="32">
        <f t="shared" si="0"/>
        <v>28.5</v>
      </c>
      <c r="BB9" s="32">
        <f t="shared" si="0"/>
        <v>20</v>
      </c>
      <c r="BC9" s="32">
        <f t="shared" si="0"/>
        <v>82</v>
      </c>
      <c r="BD9" s="34">
        <f t="shared" si="1"/>
        <v>204.5</v>
      </c>
      <c r="BE9" s="7" t="s">
        <v>18</v>
      </c>
    </row>
    <row r="10" spans="2:57" x14ac:dyDescent="0.25">
      <c r="B10" s="4"/>
      <c r="C10" s="4"/>
      <c r="E10" s="18" t="s">
        <v>11</v>
      </c>
      <c r="F10" s="18"/>
      <c r="G10" s="5">
        <f>SUMIF($B$20:$B$71,$E10,G$20:G$71)</f>
        <v>1</v>
      </c>
      <c r="H10" s="5">
        <f>SUMIF($B$20:$B$71,$E10,H$20:H$71)</f>
        <v>1</v>
      </c>
      <c r="I10" s="5">
        <f>SUMIF($B$20:$B$71,$E10,I$20:I$71)</f>
        <v>1</v>
      </c>
      <c r="J10" s="5">
        <f>SUMIF($B$20:$B$71,$E10,J$20:J$71)</f>
        <v>1</v>
      </c>
      <c r="K10" s="5">
        <f>SUMIF($B$20:$B$71,$E10,K$20:K$71)</f>
        <v>1.5</v>
      </c>
      <c r="L10" s="5">
        <f>SUMIF($B$20:$B$71,$E10,L$20:L$71)</f>
        <v>1.5</v>
      </c>
      <c r="M10" s="5">
        <f>SUMIF($B$20:$B$71,$E10,M$20:M$71)</f>
        <v>1.5</v>
      </c>
      <c r="N10" s="5">
        <f>SUMIF($B$20:$B$71,$E10,N$20:N$71)</f>
        <v>1.5</v>
      </c>
      <c r="O10" s="5">
        <f>SUMIF($B$20:$B$71,$E10,O$20:O$71)</f>
        <v>1.5</v>
      </c>
      <c r="P10" s="5">
        <f>SUMIF($B$20:$B$71,$E10,P$20:P$71)</f>
        <v>1.5</v>
      </c>
      <c r="Q10" s="5">
        <f>SUMIF($B$20:$B$71,$E10,Q$20:Q$71)</f>
        <v>2</v>
      </c>
      <c r="R10" s="5">
        <f>SUMIF($B$20:$B$71,$E10,R$20:R$71)</f>
        <v>2</v>
      </c>
      <c r="S10" s="5">
        <f>SUMIF($B$20:$B$71,$E10,S$20:S$71)</f>
        <v>2</v>
      </c>
      <c r="T10" s="5">
        <f>SUMIF($B$20:$B$71,$E10,T$20:T$71)</f>
        <v>3</v>
      </c>
      <c r="U10" s="5">
        <f>SUMIF($B$20:$B$71,$E10,U$20:U$71)</f>
        <v>3</v>
      </c>
      <c r="V10" s="5">
        <f>SUMIF($B$20:$B$71,$E10,V$20:V$71)</f>
        <v>3</v>
      </c>
      <c r="W10" s="5">
        <f>SUMIF($B$20:$B$71,$E10,W$20:W$71)</f>
        <v>4</v>
      </c>
      <c r="X10" s="5">
        <f>SUMIF($B$20:$B$71,$E10,X$20:X$71)</f>
        <v>4</v>
      </c>
      <c r="Y10" s="5">
        <f>SUMIF($B$20:$B$71,$E10,Y$20:Y$71)</f>
        <v>4</v>
      </c>
      <c r="Z10" s="5">
        <f>SUMIF($B$20:$B$71,$E10,Z$20:Z$71)</f>
        <v>4</v>
      </c>
      <c r="AA10" s="5">
        <f>SUMIF($B$20:$B$71,$E10,AA$20:AA$71)</f>
        <v>4</v>
      </c>
      <c r="AB10" s="5">
        <f>SUMIF($B$20:$B$71,$E10,AB$20:AB$71)</f>
        <v>3</v>
      </c>
      <c r="AC10" s="5">
        <f>SUMIF($B$20:$B$71,$E10,AC$20:AC$71)</f>
        <v>3</v>
      </c>
      <c r="AD10" s="5">
        <f>SUMIF($B$20:$B$71,$E10,AD$20:AD$71)</f>
        <v>3</v>
      </c>
      <c r="AE10" s="5">
        <f>SUMIF($B$20:$B$71,$E10,AE$20:AE$71)</f>
        <v>3</v>
      </c>
      <c r="AF10" s="5">
        <f>SUMIF($B$20:$B$71,$E10,AF$20:AF$71)</f>
        <v>3</v>
      </c>
      <c r="AG10" s="5">
        <f>SUMIF($B$20:$B$71,$E10,AG$20:AG$71)</f>
        <v>3</v>
      </c>
      <c r="AH10" s="5">
        <f>SUMIF($B$20:$B$71,$E10,AH$20:AH$71)</f>
        <v>3</v>
      </c>
      <c r="AI10" s="5">
        <f>SUMIF($B$20:$B$71,$E10,AI$20:AI$71)</f>
        <v>3</v>
      </c>
      <c r="AJ10" s="5">
        <f>SUMIF($B$20:$B$71,$E10,AJ$20:AJ$71)</f>
        <v>3</v>
      </c>
      <c r="AK10" s="5">
        <f>SUMIF($B$20:$B$71,$E10,AK$20:AK$71)</f>
        <v>3</v>
      </c>
      <c r="AL10" s="5">
        <f>SUMIF($B$20:$B$71,$E10,AL$20:AL$71)</f>
        <v>3</v>
      </c>
      <c r="AM10" s="5">
        <f>SUMIF($B$20:$B$71,$E10,AM$20:AM$71)</f>
        <v>3</v>
      </c>
      <c r="AN10" s="5">
        <f>SUMIF($B$20:$B$71,$E10,AN$20:AN$71)</f>
        <v>3</v>
      </c>
      <c r="AO10" s="5">
        <f>SUMIF($B$20:$B$71,$E10,AO$20:AO$71)</f>
        <v>3</v>
      </c>
      <c r="AP10" s="5">
        <f>SUMIF($B$20:$B$71,$E10,AP$20:AP$71)</f>
        <v>3</v>
      </c>
      <c r="AQ10" s="5">
        <f>SUMIF($B$20:$B$71,$E10,AQ$20:AQ$71)</f>
        <v>3</v>
      </c>
      <c r="AR10" s="5">
        <f>SUMIF($B$20:$B$71,$E10,AR$20:AR$71)</f>
        <v>3</v>
      </c>
      <c r="AS10" s="4"/>
      <c r="AW10" s="32">
        <f t="shared" si="0"/>
        <v>1</v>
      </c>
      <c r="AX10" s="32">
        <f t="shared" si="0"/>
        <v>3</v>
      </c>
      <c r="AY10" s="32">
        <f t="shared" si="0"/>
        <v>9</v>
      </c>
      <c r="AZ10" s="32">
        <f t="shared" si="0"/>
        <v>6</v>
      </c>
      <c r="BA10" s="32">
        <f t="shared" si="0"/>
        <v>9</v>
      </c>
      <c r="BB10" s="32">
        <f t="shared" si="0"/>
        <v>8</v>
      </c>
      <c r="BC10" s="32">
        <f t="shared" si="0"/>
        <v>63</v>
      </c>
      <c r="BD10" s="34">
        <f t="shared" si="1"/>
        <v>99</v>
      </c>
      <c r="BE10" s="7" t="s">
        <v>11</v>
      </c>
    </row>
    <row r="11" spans="2:57" x14ac:dyDescent="0.25">
      <c r="B11" s="4"/>
      <c r="C11" s="4"/>
      <c r="E11" s="18" t="s">
        <v>19</v>
      </c>
      <c r="F11" s="18"/>
      <c r="G11" s="5">
        <f>SUMIF($B$20:$B$71,$E11,G$20:G$71)</f>
        <v>1</v>
      </c>
      <c r="H11" s="5">
        <f>SUMIF($B$20:$B$71,$E11,H$20:H$71)</f>
        <v>4</v>
      </c>
      <c r="I11" s="5">
        <f>SUMIF($B$20:$B$71,$E11,I$20:I$71)</f>
        <v>4</v>
      </c>
      <c r="J11" s="5">
        <f>SUMIF($B$20:$B$71,$E11,J$20:J$71)</f>
        <v>4</v>
      </c>
      <c r="K11" s="5">
        <f>SUMIF($B$20:$B$71,$E11,K$20:K$71)</f>
        <v>6</v>
      </c>
      <c r="L11" s="5">
        <f>SUMIF($B$20:$B$71,$E11,L$20:L$71)</f>
        <v>6</v>
      </c>
      <c r="M11" s="5">
        <f>SUMIF($B$20:$B$71,$E11,M$20:M$71)</f>
        <v>6</v>
      </c>
      <c r="N11" s="5">
        <f>SUMIF($B$20:$B$71,$E11,N$20:N$71)</f>
        <v>6</v>
      </c>
      <c r="O11" s="5">
        <f>SUMIF($B$20:$B$71,$E11,O$20:O$71)</f>
        <v>6</v>
      </c>
      <c r="P11" s="5">
        <f>SUMIF($B$20:$B$71,$E11,P$20:P$71)</f>
        <v>6</v>
      </c>
      <c r="Q11" s="5">
        <f>SUMIF($B$20:$B$71,$E11,Q$20:Q$71)</f>
        <v>7.5</v>
      </c>
      <c r="R11" s="5">
        <f>SUMIF($B$20:$B$71,$E11,R$20:R$71)</f>
        <v>7.5</v>
      </c>
      <c r="S11" s="5">
        <f>SUMIF($B$20:$B$71,$E11,S$20:S$71)</f>
        <v>7.5</v>
      </c>
      <c r="T11" s="5">
        <f>SUMIF($B$20:$B$71,$E11,T$20:T$71)</f>
        <v>8.5</v>
      </c>
      <c r="U11" s="5">
        <f>SUMIF($B$20:$B$71,$E11,U$20:U$71)</f>
        <v>8.5</v>
      </c>
      <c r="V11" s="5">
        <f>SUMIF($B$20:$B$71,$E11,V$20:V$71)</f>
        <v>8.5</v>
      </c>
      <c r="W11" s="5">
        <f>SUMIF($B$20:$B$71,$E11,W$20:W$71)</f>
        <v>9.5</v>
      </c>
      <c r="X11" s="5">
        <f>SUMIF($B$20:$B$71,$E11,X$20:X$71)</f>
        <v>9.5</v>
      </c>
      <c r="Y11" s="5">
        <f>SUMIF($B$20:$B$71,$E11,Y$20:Y$71)</f>
        <v>8</v>
      </c>
      <c r="Z11" s="5">
        <f>SUMIF($B$20:$B$71,$E11,Z$20:Z$71)</f>
        <v>8</v>
      </c>
      <c r="AA11" s="5">
        <f>SUMIF($B$20:$B$71,$E11,AA$20:AA$71)</f>
        <v>8</v>
      </c>
      <c r="AB11" s="5">
        <f>SUMIF($B$20:$B$71,$E11,AB$20:AB$71)</f>
        <v>6.5</v>
      </c>
      <c r="AC11" s="5">
        <f>SUMIF($B$20:$B$71,$E11,AC$20:AC$71)</f>
        <v>6.5</v>
      </c>
      <c r="AD11" s="5">
        <f>SUMIF($B$20:$B$71,$E11,AD$20:AD$71)</f>
        <v>6.5</v>
      </c>
      <c r="AE11" s="5">
        <f>SUMIF($B$20:$B$71,$E11,AE$20:AE$71)</f>
        <v>6.5</v>
      </c>
      <c r="AF11" s="5">
        <f>SUMIF($B$20:$B$71,$E11,AF$20:AF$71)</f>
        <v>6.5</v>
      </c>
      <c r="AG11" s="5">
        <f>SUMIF($B$20:$B$71,$E11,AG$20:AG$71)</f>
        <v>6.5</v>
      </c>
      <c r="AH11" s="5">
        <f>SUMIF($B$20:$B$71,$E11,AH$20:AH$71)</f>
        <v>6.5</v>
      </c>
      <c r="AI11" s="5">
        <f>SUMIF($B$20:$B$71,$E11,AI$20:AI$71)</f>
        <v>6.5</v>
      </c>
      <c r="AJ11" s="5">
        <f>SUMIF($B$20:$B$71,$E11,AJ$20:AJ$71)</f>
        <v>6.5</v>
      </c>
      <c r="AK11" s="5">
        <f>SUMIF($B$20:$B$71,$E11,AK$20:AK$71)</f>
        <v>6.5</v>
      </c>
      <c r="AL11" s="5">
        <f>SUMIF($B$20:$B$71,$E11,AL$20:AL$71)</f>
        <v>6.5</v>
      </c>
      <c r="AM11" s="5">
        <f>SUMIF($B$20:$B$71,$E11,AM$20:AM$71)</f>
        <v>6.5</v>
      </c>
      <c r="AN11" s="5">
        <f>SUMIF($B$20:$B$71,$E11,AN$20:AN$71)</f>
        <v>6.5</v>
      </c>
      <c r="AO11" s="5">
        <f>SUMIF($B$20:$B$71,$E11,AO$20:AO$71)</f>
        <v>6.5</v>
      </c>
      <c r="AP11" s="5">
        <f>SUMIF($B$20:$B$71,$E11,AP$20:AP$71)</f>
        <v>6.5</v>
      </c>
      <c r="AQ11" s="5">
        <f>SUMIF($B$20:$B$71,$E11,AQ$20:AQ$71)</f>
        <v>6.5</v>
      </c>
      <c r="AR11" s="5">
        <f>SUMIF($B$20:$B$71,$E11,AR$20:AR$71)</f>
        <v>6.5</v>
      </c>
      <c r="AS11" s="4"/>
      <c r="AW11" s="32">
        <f t="shared" si="0"/>
        <v>1</v>
      </c>
      <c r="AX11" s="32">
        <f t="shared" si="0"/>
        <v>12</v>
      </c>
      <c r="AY11" s="32">
        <f t="shared" si="0"/>
        <v>36</v>
      </c>
      <c r="AZ11" s="32">
        <f t="shared" si="0"/>
        <v>22.5</v>
      </c>
      <c r="BA11" s="32">
        <f t="shared" si="0"/>
        <v>25.5</v>
      </c>
      <c r="BB11" s="32">
        <f t="shared" si="0"/>
        <v>19</v>
      </c>
      <c r="BC11" s="32">
        <f t="shared" si="0"/>
        <v>134.5</v>
      </c>
      <c r="BD11" s="34">
        <f t="shared" si="1"/>
        <v>250.5</v>
      </c>
      <c r="BE11" s="7" t="s">
        <v>19</v>
      </c>
    </row>
    <row r="12" spans="2:57" x14ac:dyDescent="0.25">
      <c r="B12" s="4"/>
      <c r="C12" s="4"/>
      <c r="E12" s="18" t="s">
        <v>20</v>
      </c>
      <c r="F12" s="18"/>
      <c r="G12" s="5">
        <f>SUMIF($B$20:$B$71,$E12,G$20:G$71)</f>
        <v>0</v>
      </c>
      <c r="H12" s="5">
        <f>SUMIF($B$20:$B$71,$E12,H$20:H$71)</f>
        <v>0</v>
      </c>
      <c r="I12" s="5">
        <f>SUMIF($B$20:$B$71,$E12,I$20:I$71)</f>
        <v>0</v>
      </c>
      <c r="J12" s="5">
        <f>SUMIF($B$20:$B$71,$E12,J$20:J$71)</f>
        <v>0</v>
      </c>
      <c r="K12" s="5">
        <f>SUMIF($B$20:$B$71,$E12,K$20:K$71)</f>
        <v>1</v>
      </c>
      <c r="L12" s="5">
        <f>SUMIF($B$20:$B$71,$E12,L$20:L$71)</f>
        <v>1</v>
      </c>
      <c r="M12" s="5">
        <f>SUMIF($B$20:$B$71,$E12,M$20:M$71)</f>
        <v>1</v>
      </c>
      <c r="N12" s="5">
        <f>SUMIF($B$20:$B$71,$E12,N$20:N$71)</f>
        <v>1</v>
      </c>
      <c r="O12" s="5">
        <f>SUMIF($B$20:$B$71,$E12,O$20:O$71)</f>
        <v>1</v>
      </c>
      <c r="P12" s="5">
        <f>SUMIF($B$20:$B$71,$E12,P$20:P$71)</f>
        <v>1</v>
      </c>
      <c r="Q12" s="5">
        <f>SUMIF($B$20:$B$71,$E12,Q$20:Q$71)</f>
        <v>1.5</v>
      </c>
      <c r="R12" s="5">
        <f>SUMIF($B$20:$B$71,$E12,R$20:R$71)</f>
        <v>1.5</v>
      </c>
      <c r="S12" s="5">
        <f>SUMIF($B$20:$B$71,$E12,S$20:S$71)</f>
        <v>1.5</v>
      </c>
      <c r="T12" s="5">
        <f>SUMIF($B$20:$B$71,$E12,T$20:T$71)</f>
        <v>1.5</v>
      </c>
      <c r="U12" s="5">
        <f>SUMIF($B$20:$B$71,$E12,U$20:U$71)</f>
        <v>1.5</v>
      </c>
      <c r="V12" s="5">
        <f>SUMIF($B$20:$B$71,$E12,V$20:V$71)</f>
        <v>1.5</v>
      </c>
      <c r="W12" s="5">
        <f>SUMIF($B$20:$B$71,$E12,W$20:W$71)</f>
        <v>1.5</v>
      </c>
      <c r="X12" s="5">
        <f>SUMIF($B$20:$B$71,$E12,X$20:X$71)</f>
        <v>1.5</v>
      </c>
      <c r="Y12" s="5">
        <f>SUMIF($B$20:$B$71,$E12,Y$20:Y$71)</f>
        <v>1</v>
      </c>
      <c r="Z12" s="5">
        <f>SUMIF($B$20:$B$71,$E12,Z$20:Z$71)</f>
        <v>1</v>
      </c>
      <c r="AA12" s="5">
        <f>SUMIF($B$20:$B$71,$E12,AA$20:AA$71)</f>
        <v>1</v>
      </c>
      <c r="AB12" s="5">
        <f>SUMIF($B$20:$B$71,$E12,AB$20:AB$71)</f>
        <v>1</v>
      </c>
      <c r="AC12" s="5">
        <f>SUMIF($B$20:$B$71,$E12,AC$20:AC$71)</f>
        <v>1</v>
      </c>
      <c r="AD12" s="5">
        <f>SUMIF($B$20:$B$71,$E12,AD$20:AD$71)</f>
        <v>1</v>
      </c>
      <c r="AE12" s="5">
        <f>SUMIF($B$20:$B$71,$E12,AE$20:AE$71)</f>
        <v>1</v>
      </c>
      <c r="AF12" s="5">
        <f>SUMIF($B$20:$B$71,$E12,AF$20:AF$71)</f>
        <v>1</v>
      </c>
      <c r="AG12" s="5">
        <f>SUMIF($B$20:$B$71,$E12,AG$20:AG$71)</f>
        <v>1</v>
      </c>
      <c r="AH12" s="5">
        <f>SUMIF($B$20:$B$71,$E12,AH$20:AH$71)</f>
        <v>1</v>
      </c>
      <c r="AI12" s="5">
        <f>SUMIF($B$20:$B$71,$E12,AI$20:AI$71)</f>
        <v>1</v>
      </c>
      <c r="AJ12" s="5">
        <f>SUMIF($B$20:$B$71,$E12,AJ$20:AJ$71)</f>
        <v>1</v>
      </c>
      <c r="AK12" s="5">
        <f>SUMIF($B$20:$B$71,$E12,AK$20:AK$71)</f>
        <v>1</v>
      </c>
      <c r="AL12" s="5">
        <f>SUMIF($B$20:$B$71,$E12,AL$20:AL$71)</f>
        <v>1</v>
      </c>
      <c r="AM12" s="5">
        <f>SUMIF($B$20:$B$71,$E12,AM$20:AM$71)</f>
        <v>1</v>
      </c>
      <c r="AN12" s="5">
        <f>SUMIF($B$20:$B$71,$E12,AN$20:AN$71)</f>
        <v>1</v>
      </c>
      <c r="AO12" s="5">
        <f>SUMIF($B$20:$B$71,$E12,AO$20:AO$71)</f>
        <v>1</v>
      </c>
      <c r="AP12" s="5">
        <f>SUMIF($B$20:$B$71,$E12,AP$20:AP$71)</f>
        <v>1</v>
      </c>
      <c r="AQ12" s="5">
        <f>SUMIF($B$20:$B$71,$E12,AQ$20:AQ$71)</f>
        <v>1</v>
      </c>
      <c r="AR12" s="5">
        <f>SUMIF($B$20:$B$71,$E12,AR$20:AR$71)</f>
        <v>1</v>
      </c>
      <c r="AS12" s="4"/>
      <c r="AW12" s="32">
        <f t="shared" si="0"/>
        <v>0</v>
      </c>
      <c r="AX12" s="32">
        <f t="shared" si="0"/>
        <v>0</v>
      </c>
      <c r="AY12" s="32">
        <f t="shared" si="0"/>
        <v>6</v>
      </c>
      <c r="AZ12" s="32">
        <f t="shared" si="0"/>
        <v>4.5</v>
      </c>
      <c r="BA12" s="32">
        <f t="shared" si="0"/>
        <v>4.5</v>
      </c>
      <c r="BB12" s="32">
        <f t="shared" si="0"/>
        <v>3</v>
      </c>
      <c r="BC12" s="32">
        <f t="shared" si="0"/>
        <v>20</v>
      </c>
      <c r="BD12" s="34">
        <f t="shared" si="1"/>
        <v>38</v>
      </c>
      <c r="BE12" s="7" t="s">
        <v>20</v>
      </c>
    </row>
    <row r="13" spans="2:57" x14ac:dyDescent="0.25">
      <c r="B13" s="4"/>
      <c r="C13" s="4"/>
      <c r="E13" s="18" t="s">
        <v>21</v>
      </c>
      <c r="F13" s="18"/>
      <c r="G13" s="5">
        <f>SUMIF($B$20:$B$71,$E13,G$20:G$71)</f>
        <v>0</v>
      </c>
      <c r="H13" s="5">
        <f>SUMIF($B$20:$B$71,$E13,H$20:H$71)</f>
        <v>0</v>
      </c>
      <c r="I13" s="5">
        <f>SUMIF($B$20:$B$71,$E13,I$20:I$71)</f>
        <v>0</v>
      </c>
      <c r="J13" s="5">
        <f>SUMIF($B$20:$B$71,$E13,J$20:J$71)</f>
        <v>0</v>
      </c>
      <c r="K13" s="5">
        <f>SUMIF($B$20:$B$71,$E13,K$20:K$71)</f>
        <v>1</v>
      </c>
      <c r="L13" s="5">
        <f>SUMIF($B$20:$B$71,$E13,L$20:L$71)</f>
        <v>1</v>
      </c>
      <c r="M13" s="5">
        <f>SUMIF($B$20:$B$71,$E13,M$20:M$71)</f>
        <v>1</v>
      </c>
      <c r="N13" s="5">
        <f>SUMIF($B$20:$B$71,$E13,N$20:N$71)</f>
        <v>1</v>
      </c>
      <c r="O13" s="5">
        <f>SUMIF($B$20:$B$71,$E13,O$20:O$71)</f>
        <v>1</v>
      </c>
      <c r="P13" s="5">
        <f>SUMIF($B$20:$B$71,$E13,P$20:P$71)</f>
        <v>1</v>
      </c>
      <c r="Q13" s="5">
        <f>SUMIF($B$20:$B$71,$E13,Q$20:Q$71)</f>
        <v>1</v>
      </c>
      <c r="R13" s="5">
        <f>SUMIF($B$20:$B$71,$E13,R$20:R$71)</f>
        <v>1</v>
      </c>
      <c r="S13" s="5">
        <f>SUMIF($B$20:$B$71,$E13,S$20:S$71)</f>
        <v>1</v>
      </c>
      <c r="T13" s="5">
        <f>SUMIF($B$20:$B$71,$E13,T$20:T$71)</f>
        <v>1.5</v>
      </c>
      <c r="U13" s="5">
        <f>SUMIF($B$20:$B$71,$E13,U$20:U$71)</f>
        <v>1.5</v>
      </c>
      <c r="V13" s="5">
        <f>SUMIF($B$20:$B$71,$E13,V$20:V$71)</f>
        <v>1.5</v>
      </c>
      <c r="W13" s="5">
        <f>SUMIF($B$20:$B$71,$E13,W$20:W$71)</f>
        <v>2</v>
      </c>
      <c r="X13" s="5">
        <f>SUMIF($B$20:$B$71,$E13,X$20:X$71)</f>
        <v>2</v>
      </c>
      <c r="Y13" s="5">
        <f>SUMIF($B$20:$B$71,$E13,Y$20:Y$71)</f>
        <v>1.5</v>
      </c>
      <c r="Z13" s="5">
        <f>SUMIF($B$20:$B$71,$E13,Z$20:Z$71)</f>
        <v>1.5</v>
      </c>
      <c r="AA13" s="5">
        <f>SUMIF($B$20:$B$71,$E13,AA$20:AA$71)</f>
        <v>1.5</v>
      </c>
      <c r="AB13" s="5">
        <f>SUMIF($B$20:$B$71,$E13,AB$20:AB$71)</f>
        <v>1</v>
      </c>
      <c r="AC13" s="5">
        <f>SUMIF($B$20:$B$71,$E13,AC$20:AC$71)</f>
        <v>1</v>
      </c>
      <c r="AD13" s="5">
        <f>SUMIF($B$20:$B$71,$E13,AD$20:AD$71)</f>
        <v>1</v>
      </c>
      <c r="AE13" s="5">
        <f>SUMIF($B$20:$B$71,$E13,AE$20:AE$71)</f>
        <v>1</v>
      </c>
      <c r="AF13" s="5">
        <f>SUMIF($B$20:$B$71,$E13,AF$20:AF$71)</f>
        <v>1</v>
      </c>
      <c r="AG13" s="5">
        <f>SUMIF($B$20:$B$71,$E13,AG$20:AG$71)</f>
        <v>1</v>
      </c>
      <c r="AH13" s="5">
        <f>SUMIF($B$20:$B$71,$E13,AH$20:AH$71)</f>
        <v>1</v>
      </c>
      <c r="AI13" s="5">
        <f>SUMIF($B$20:$B$71,$E13,AI$20:AI$71)</f>
        <v>1</v>
      </c>
      <c r="AJ13" s="5">
        <f>SUMIF($B$20:$B$71,$E13,AJ$20:AJ$71)</f>
        <v>1</v>
      </c>
      <c r="AK13" s="5">
        <f>SUMIF($B$20:$B$71,$E13,AK$20:AK$71)</f>
        <v>1</v>
      </c>
      <c r="AL13" s="5">
        <f>SUMIF($B$20:$B$71,$E13,AL$20:AL$71)</f>
        <v>1</v>
      </c>
      <c r="AM13" s="5">
        <f>SUMIF($B$20:$B$71,$E13,AM$20:AM$71)</f>
        <v>1</v>
      </c>
      <c r="AN13" s="5">
        <f>SUMIF($B$20:$B$71,$E13,AN$20:AN$71)</f>
        <v>1</v>
      </c>
      <c r="AO13" s="5">
        <f>SUMIF($B$20:$B$71,$E13,AO$20:AO$71)</f>
        <v>1</v>
      </c>
      <c r="AP13" s="5">
        <f>SUMIF($B$20:$B$71,$E13,AP$20:AP$71)</f>
        <v>1</v>
      </c>
      <c r="AQ13" s="5">
        <f>SUMIF($B$20:$B$71,$E13,AQ$20:AQ$71)</f>
        <v>1</v>
      </c>
      <c r="AR13" s="5">
        <f>SUMIF($B$20:$B$71,$E13,AR$20:AR$71)</f>
        <v>1</v>
      </c>
      <c r="AS13" s="4"/>
      <c r="AW13" s="32">
        <f t="shared" si="0"/>
        <v>0</v>
      </c>
      <c r="AX13" s="32">
        <f t="shared" si="0"/>
        <v>0</v>
      </c>
      <c r="AY13" s="32">
        <f t="shared" si="0"/>
        <v>6</v>
      </c>
      <c r="AZ13" s="32">
        <f t="shared" si="0"/>
        <v>3</v>
      </c>
      <c r="BA13" s="32">
        <f t="shared" si="0"/>
        <v>4.5</v>
      </c>
      <c r="BB13" s="32">
        <f t="shared" si="0"/>
        <v>4</v>
      </c>
      <c r="BC13" s="32">
        <f t="shared" si="0"/>
        <v>21.5</v>
      </c>
      <c r="BD13" s="34">
        <f t="shared" si="1"/>
        <v>39</v>
      </c>
      <c r="BE13" s="7" t="s">
        <v>21</v>
      </c>
    </row>
    <row r="14" spans="2:57" x14ac:dyDescent="0.25">
      <c r="B14" s="4"/>
      <c r="C14" s="4"/>
      <c r="E14" s="18" t="s">
        <v>22</v>
      </c>
      <c r="F14" s="18"/>
      <c r="G14" s="5">
        <f>SUMIF($B$20:$B$71,$E14,G$20:G$71)</f>
        <v>0</v>
      </c>
      <c r="H14" s="5">
        <f>SUMIF($B$20:$B$71,$E14,H$20:H$71)</f>
        <v>0</v>
      </c>
      <c r="I14" s="5">
        <f>SUMIF($B$20:$B$71,$E14,I$20:I$71)</f>
        <v>0</v>
      </c>
      <c r="J14" s="5">
        <f>SUMIF($B$20:$B$71,$E14,J$20:J$71)</f>
        <v>0</v>
      </c>
      <c r="K14" s="5">
        <f>SUMIF($B$20:$B$71,$E14,K$20:K$71)</f>
        <v>0</v>
      </c>
      <c r="L14" s="5">
        <f>SUMIF($B$20:$B$71,$E14,L$20:L$71)</f>
        <v>0</v>
      </c>
      <c r="M14" s="5">
        <f>SUMIF($B$20:$B$71,$E14,M$20:M$71)</f>
        <v>0</v>
      </c>
      <c r="N14" s="5">
        <f>SUMIF($B$20:$B$71,$E14,N$20:N$71)</f>
        <v>0</v>
      </c>
      <c r="O14" s="5">
        <f>SUMIF($B$20:$B$71,$E14,O$20:O$71)</f>
        <v>0</v>
      </c>
      <c r="P14" s="5">
        <f>SUMIF($B$20:$B$71,$E14,P$20:P$71)</f>
        <v>0</v>
      </c>
      <c r="Q14" s="5">
        <f>SUMIF($B$20:$B$71,$E14,Q$20:Q$71)</f>
        <v>0</v>
      </c>
      <c r="R14" s="5">
        <f>SUMIF($B$20:$B$71,$E14,R$20:R$71)</f>
        <v>0</v>
      </c>
      <c r="S14" s="5">
        <f>SUMIF($B$20:$B$71,$E14,S$20:S$71)</f>
        <v>0</v>
      </c>
      <c r="T14" s="5">
        <f>SUMIF($B$20:$B$71,$E14,T$20:T$71)</f>
        <v>3</v>
      </c>
      <c r="U14" s="5">
        <f>SUMIF($B$20:$B$71,$E14,U$20:U$71)</f>
        <v>3</v>
      </c>
      <c r="V14" s="5">
        <f>SUMIF($B$20:$B$71,$E14,V$20:V$71)</f>
        <v>3</v>
      </c>
      <c r="W14" s="5">
        <f>SUMIF($B$20:$B$71,$E14,W$20:W$71)</f>
        <v>0</v>
      </c>
      <c r="X14" s="5">
        <f>SUMIF($B$20:$B$71,$E14,X$20:X$71)</f>
        <v>0</v>
      </c>
      <c r="Y14" s="5">
        <f>SUMIF($B$20:$B$71,$E14,Y$20:Y$71)</f>
        <v>3</v>
      </c>
      <c r="Z14" s="5">
        <f>SUMIF($B$20:$B$71,$E14,Z$20:Z$71)</f>
        <v>0</v>
      </c>
      <c r="AA14" s="5">
        <f>SUMIF($B$20:$B$71,$E14,AA$20:AA$71)</f>
        <v>0</v>
      </c>
      <c r="AB14" s="5">
        <f>SUMIF($B$20:$B$71,$E14,AB$20:AB$71)</f>
        <v>3</v>
      </c>
      <c r="AC14" s="5">
        <f>SUMIF($B$20:$B$71,$E14,AC$20:AC$71)</f>
        <v>0</v>
      </c>
      <c r="AD14" s="5">
        <f>SUMIF($B$20:$B$71,$E14,AD$20:AD$71)</f>
        <v>0</v>
      </c>
      <c r="AE14" s="5">
        <f>SUMIF($B$20:$B$71,$E14,AE$20:AE$71)</f>
        <v>3</v>
      </c>
      <c r="AF14" s="5">
        <f>SUMIF($B$20:$B$71,$E14,AF$20:AF$71)</f>
        <v>0</v>
      </c>
      <c r="AG14" s="5">
        <f>SUMIF($B$20:$B$71,$E14,AG$20:AG$71)</f>
        <v>0</v>
      </c>
      <c r="AH14" s="5">
        <f>SUMIF($B$20:$B$71,$E14,AH$20:AH$71)</f>
        <v>3</v>
      </c>
      <c r="AI14" s="5">
        <f>SUMIF($B$20:$B$71,$E14,AI$20:AI$71)</f>
        <v>0</v>
      </c>
      <c r="AJ14" s="5">
        <f>SUMIF($B$20:$B$71,$E14,AJ$20:AJ$71)</f>
        <v>0</v>
      </c>
      <c r="AK14" s="5">
        <f>SUMIF($B$20:$B$71,$E14,AK$20:AK$71)</f>
        <v>3</v>
      </c>
      <c r="AL14" s="5">
        <f>SUMIF($B$20:$B$71,$E14,AL$20:AL$71)</f>
        <v>0</v>
      </c>
      <c r="AM14" s="5">
        <f>SUMIF($B$20:$B$71,$E14,AM$20:AM$71)</f>
        <v>0</v>
      </c>
      <c r="AN14" s="5">
        <f>SUMIF($B$20:$B$71,$E14,AN$20:AN$71)</f>
        <v>3</v>
      </c>
      <c r="AO14" s="5">
        <f>SUMIF($B$20:$B$71,$E14,AO$20:AO$71)</f>
        <v>0</v>
      </c>
      <c r="AP14" s="5">
        <f>SUMIF($B$20:$B$71,$E14,AP$20:AP$71)</f>
        <v>0</v>
      </c>
      <c r="AQ14" s="5">
        <f>SUMIF($B$20:$B$71,$E14,AQ$20:AQ$71)</f>
        <v>3</v>
      </c>
      <c r="AR14" s="5">
        <f>SUMIF($B$20:$B$71,$E14,AR$20:AR$71)</f>
        <v>0</v>
      </c>
      <c r="AS14" s="4"/>
      <c r="AW14" s="32">
        <f t="shared" si="0"/>
        <v>0</v>
      </c>
      <c r="AX14" s="32">
        <f t="shared" si="0"/>
        <v>0</v>
      </c>
      <c r="AY14" s="32">
        <f t="shared" si="0"/>
        <v>0</v>
      </c>
      <c r="AZ14" s="32">
        <f t="shared" si="0"/>
        <v>0</v>
      </c>
      <c r="BA14" s="32">
        <f t="shared" si="0"/>
        <v>9</v>
      </c>
      <c r="BB14" s="32">
        <f t="shared" si="0"/>
        <v>0</v>
      </c>
      <c r="BC14" s="32">
        <f t="shared" si="0"/>
        <v>21</v>
      </c>
      <c r="BD14" s="34">
        <f t="shared" si="1"/>
        <v>30</v>
      </c>
      <c r="BE14" s="7" t="s">
        <v>22</v>
      </c>
    </row>
    <row r="15" spans="2:57" x14ac:dyDescent="0.25">
      <c r="B15" s="4"/>
      <c r="C15" s="4"/>
      <c r="E15" s="18" t="s">
        <v>23</v>
      </c>
      <c r="F15" s="18"/>
      <c r="G15" s="5">
        <f>SUMIF($B$20:$B$71,$E15,G$20:G$71)</f>
        <v>0</v>
      </c>
      <c r="H15" s="5">
        <f>SUMIF($B$20:$B$71,$E15,H$20:H$71)</f>
        <v>1</v>
      </c>
      <c r="I15" s="5">
        <f>SUMIF($B$20:$B$71,$E15,I$20:I$71)</f>
        <v>1</v>
      </c>
      <c r="J15" s="5">
        <f>SUMIF($B$20:$B$71,$E15,J$20:J$71)</f>
        <v>1</v>
      </c>
      <c r="K15" s="5">
        <f>SUMIF($B$20:$B$71,$E15,K$20:K$71)</f>
        <v>2.5</v>
      </c>
      <c r="L15" s="5">
        <f>SUMIF($B$20:$B$71,$E15,L$20:L$71)</f>
        <v>2.5</v>
      </c>
      <c r="M15" s="5">
        <f>SUMIF($B$20:$B$71,$E15,M$20:M$71)</f>
        <v>2.5</v>
      </c>
      <c r="N15" s="5">
        <f>SUMIF($B$20:$B$71,$E15,N$20:N$71)</f>
        <v>2.5</v>
      </c>
      <c r="O15" s="5">
        <f>SUMIF($B$20:$B$71,$E15,O$20:O$71)</f>
        <v>2.5</v>
      </c>
      <c r="P15" s="5">
        <f>SUMIF($B$20:$B$71,$E15,P$20:P$71)</f>
        <v>2.5</v>
      </c>
      <c r="Q15" s="5">
        <f>SUMIF($B$20:$B$71,$E15,Q$20:Q$71)</f>
        <v>4</v>
      </c>
      <c r="R15" s="5">
        <f>SUMIF($B$20:$B$71,$E15,R$20:R$71)</f>
        <v>4</v>
      </c>
      <c r="S15" s="5">
        <f>SUMIF($B$20:$B$71,$E15,S$20:S$71)</f>
        <v>4</v>
      </c>
      <c r="T15" s="5">
        <f>SUMIF($B$20:$B$71,$E15,T$20:T$71)</f>
        <v>5</v>
      </c>
      <c r="U15" s="5">
        <f>SUMIF($B$20:$B$71,$E15,U$20:U$71)</f>
        <v>5</v>
      </c>
      <c r="V15" s="5">
        <f>SUMIF($B$20:$B$71,$E15,V$20:V$71)</f>
        <v>5</v>
      </c>
      <c r="W15" s="5">
        <f>SUMIF($B$20:$B$71,$E15,W$20:W$71)</f>
        <v>5</v>
      </c>
      <c r="X15" s="5">
        <f>SUMIF($B$20:$B$71,$E15,X$20:X$71)</f>
        <v>5</v>
      </c>
      <c r="Y15" s="5">
        <f>SUMIF($B$20:$B$71,$E15,Y$20:Y$71)</f>
        <v>5</v>
      </c>
      <c r="Z15" s="5">
        <f>SUMIF($B$20:$B$71,$E15,Z$20:Z$71)</f>
        <v>5</v>
      </c>
      <c r="AA15" s="5">
        <f>SUMIF($B$20:$B$71,$E15,AA$20:AA$71)</f>
        <v>5</v>
      </c>
      <c r="AB15" s="5">
        <f>SUMIF($B$20:$B$71,$E15,AB$20:AB$71)</f>
        <v>4</v>
      </c>
      <c r="AC15" s="5">
        <f>SUMIF($B$20:$B$71,$E15,AC$20:AC$71)</f>
        <v>4</v>
      </c>
      <c r="AD15" s="5">
        <f>SUMIF($B$20:$B$71,$E15,AD$20:AD$71)</f>
        <v>4</v>
      </c>
      <c r="AE15" s="5">
        <f>SUMIF($B$20:$B$71,$E15,AE$20:AE$71)</f>
        <v>4</v>
      </c>
      <c r="AF15" s="5">
        <f>SUMIF($B$20:$B$71,$E15,AF$20:AF$71)</f>
        <v>4</v>
      </c>
      <c r="AG15" s="5">
        <f>SUMIF($B$20:$B$71,$E15,AG$20:AG$71)</f>
        <v>4</v>
      </c>
      <c r="AH15" s="5">
        <f>SUMIF($B$20:$B$71,$E15,AH$20:AH$71)</f>
        <v>4</v>
      </c>
      <c r="AI15" s="5">
        <f>SUMIF($B$20:$B$71,$E15,AI$20:AI$71)</f>
        <v>4</v>
      </c>
      <c r="AJ15" s="5">
        <f>SUMIF($B$20:$B$71,$E15,AJ$20:AJ$71)</f>
        <v>4</v>
      </c>
      <c r="AK15" s="5">
        <f>SUMIF($B$20:$B$71,$E15,AK$20:AK$71)</f>
        <v>3.5</v>
      </c>
      <c r="AL15" s="5">
        <f>SUMIF($B$20:$B$71,$E15,AL$20:AL$71)</f>
        <v>3.5</v>
      </c>
      <c r="AM15" s="5">
        <f>SUMIF($B$20:$B$71,$E15,AM$20:AM$71)</f>
        <v>3.5</v>
      </c>
      <c r="AN15" s="5">
        <f>SUMIF($B$20:$B$71,$E15,AN$20:AN$71)</f>
        <v>3.5</v>
      </c>
      <c r="AO15" s="5">
        <f>SUMIF($B$20:$B$71,$E15,AO$20:AO$71)</f>
        <v>3.5</v>
      </c>
      <c r="AP15" s="5">
        <f>SUMIF($B$20:$B$71,$E15,AP$20:AP$71)</f>
        <v>3.5</v>
      </c>
      <c r="AQ15" s="5">
        <f>SUMIF($B$20:$B$71,$E15,AQ$20:AQ$71)</f>
        <v>3.5</v>
      </c>
      <c r="AR15" s="5">
        <f>SUMIF($B$20:$B$71,$E15,AR$20:AR$71)</f>
        <v>3.5</v>
      </c>
      <c r="AS15" s="4"/>
      <c r="AW15" s="32">
        <f t="shared" si="0"/>
        <v>0</v>
      </c>
      <c r="AX15" s="32">
        <f t="shared" si="0"/>
        <v>3</v>
      </c>
      <c r="AY15" s="32">
        <f t="shared" si="0"/>
        <v>15</v>
      </c>
      <c r="AZ15" s="32">
        <f t="shared" si="0"/>
        <v>12</v>
      </c>
      <c r="BA15" s="32">
        <f t="shared" si="0"/>
        <v>15</v>
      </c>
      <c r="BB15" s="32">
        <f t="shared" si="0"/>
        <v>10</v>
      </c>
      <c r="BC15" s="32">
        <f t="shared" si="0"/>
        <v>79</v>
      </c>
      <c r="BD15" s="35">
        <f t="shared" si="1"/>
        <v>134</v>
      </c>
      <c r="BE15" s="7" t="s">
        <v>23</v>
      </c>
    </row>
    <row r="16" spans="2:57" ht="13" customHeight="1" x14ac:dyDescent="0.3">
      <c r="B16" s="4"/>
      <c r="C16" s="4"/>
      <c r="D16" s="4"/>
      <c r="E16" s="4"/>
      <c r="F16" s="4"/>
      <c r="G16" s="17">
        <f t="shared" ref="G16:AR16" si="2">SUM(G8:G15)</f>
        <v>3</v>
      </c>
      <c r="H16" s="17">
        <f t="shared" si="2"/>
        <v>9</v>
      </c>
      <c r="I16" s="17">
        <f t="shared" si="2"/>
        <v>9</v>
      </c>
      <c r="J16" s="17">
        <f t="shared" si="2"/>
        <v>9</v>
      </c>
      <c r="K16" s="17">
        <f t="shared" si="2"/>
        <v>23.5</v>
      </c>
      <c r="L16" s="17">
        <f t="shared" si="2"/>
        <v>23.5</v>
      </c>
      <c r="M16" s="17">
        <f t="shared" si="2"/>
        <v>23.5</v>
      </c>
      <c r="N16" s="17">
        <f t="shared" si="2"/>
        <v>23.5</v>
      </c>
      <c r="O16" s="17">
        <f t="shared" si="2"/>
        <v>23.5</v>
      </c>
      <c r="P16" s="17">
        <f t="shared" si="2"/>
        <v>23.5</v>
      </c>
      <c r="Q16" s="17">
        <f t="shared" si="2"/>
        <v>28</v>
      </c>
      <c r="R16" s="17">
        <f t="shared" si="2"/>
        <v>28</v>
      </c>
      <c r="S16" s="17">
        <f t="shared" si="2"/>
        <v>28</v>
      </c>
      <c r="T16" s="17">
        <f t="shared" si="2"/>
        <v>38.5</v>
      </c>
      <c r="U16" s="17">
        <f t="shared" si="2"/>
        <v>38.5</v>
      </c>
      <c r="V16" s="17">
        <f t="shared" si="2"/>
        <v>38.5</v>
      </c>
      <c r="W16" s="17">
        <f t="shared" si="2"/>
        <v>38</v>
      </c>
      <c r="X16" s="17">
        <f t="shared" si="2"/>
        <v>38</v>
      </c>
      <c r="Y16" s="17">
        <f t="shared" si="2"/>
        <v>35.5</v>
      </c>
      <c r="Z16" s="17">
        <f t="shared" si="2"/>
        <v>30.5</v>
      </c>
      <c r="AA16" s="17">
        <f t="shared" si="2"/>
        <v>30.5</v>
      </c>
      <c r="AB16" s="17">
        <f t="shared" si="2"/>
        <v>27.5</v>
      </c>
      <c r="AC16" s="17">
        <f t="shared" si="2"/>
        <v>22.5</v>
      </c>
      <c r="AD16" s="17">
        <f t="shared" si="2"/>
        <v>22.5</v>
      </c>
      <c r="AE16" s="17">
        <f t="shared" si="2"/>
        <v>27.5</v>
      </c>
      <c r="AF16" s="17">
        <f t="shared" si="2"/>
        <v>22.5</v>
      </c>
      <c r="AG16" s="17">
        <f t="shared" si="2"/>
        <v>22.5</v>
      </c>
      <c r="AH16" s="17">
        <f t="shared" si="2"/>
        <v>27.5</v>
      </c>
      <c r="AI16" s="17">
        <f t="shared" si="2"/>
        <v>22.5</v>
      </c>
      <c r="AJ16" s="17">
        <f t="shared" si="2"/>
        <v>22.5</v>
      </c>
      <c r="AK16" s="17">
        <f t="shared" si="2"/>
        <v>27</v>
      </c>
      <c r="AL16" s="17">
        <f t="shared" si="2"/>
        <v>22</v>
      </c>
      <c r="AM16" s="17">
        <f t="shared" si="2"/>
        <v>22</v>
      </c>
      <c r="AN16" s="17">
        <f t="shared" si="2"/>
        <v>27</v>
      </c>
      <c r="AO16" s="17">
        <f t="shared" si="2"/>
        <v>22</v>
      </c>
      <c r="AP16" s="17">
        <f t="shared" si="2"/>
        <v>22</v>
      </c>
      <c r="AQ16" s="17">
        <f t="shared" si="2"/>
        <v>27</v>
      </c>
      <c r="AR16" s="17">
        <f t="shared" si="2"/>
        <v>22</v>
      </c>
      <c r="AS16" s="4"/>
      <c r="AW16" s="16">
        <f t="shared" ref="AW16:BD16" si="3">SUM(AW8:AW15)</f>
        <v>3</v>
      </c>
      <c r="AX16" s="15">
        <f t="shared" si="3"/>
        <v>27</v>
      </c>
      <c r="AY16" s="15">
        <f t="shared" si="3"/>
        <v>141</v>
      </c>
      <c r="AZ16" s="15">
        <f t="shared" si="3"/>
        <v>84</v>
      </c>
      <c r="BA16" s="15">
        <f t="shared" si="3"/>
        <v>115.5</v>
      </c>
      <c r="BB16" s="15">
        <f t="shared" si="3"/>
        <v>76</v>
      </c>
      <c r="BC16" s="15">
        <f t="shared" si="3"/>
        <v>505</v>
      </c>
      <c r="BD16" s="14">
        <f t="shared" si="3"/>
        <v>951.5</v>
      </c>
      <c r="BE16" s="4"/>
    </row>
    <row r="17" spans="2:57" ht="9" customHeight="1" x14ac:dyDescent="0.3">
      <c r="B17" s="13"/>
      <c r="C17" s="10"/>
      <c r="D17" s="10"/>
      <c r="E17" s="10"/>
      <c r="F17" s="10"/>
      <c r="G17" s="10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W17" s="4"/>
      <c r="AX17" s="4"/>
      <c r="AY17" s="4"/>
      <c r="AZ17" s="4"/>
      <c r="BA17" s="4"/>
      <c r="BB17" s="4"/>
      <c r="BC17" s="4"/>
      <c r="BD17" s="4"/>
      <c r="BE17" s="4"/>
    </row>
    <row r="18" spans="2:57" ht="14.15" customHeight="1" x14ac:dyDescent="0.35">
      <c r="B18" s="13"/>
      <c r="C18" s="10"/>
      <c r="D18" s="10"/>
      <c r="E18" s="10"/>
      <c r="F18" s="10"/>
      <c r="G18" s="65">
        <v>2026</v>
      </c>
      <c r="H18" s="61"/>
      <c r="I18" s="61"/>
      <c r="J18" s="61"/>
      <c r="K18" s="61"/>
      <c r="L18" s="62"/>
      <c r="M18" s="60">
        <v>2027</v>
      </c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2"/>
      <c r="Y18" s="67">
        <v>2028</v>
      </c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2"/>
      <c r="AK18" s="60">
        <v>2029</v>
      </c>
      <c r="AL18" s="61"/>
      <c r="AM18" s="61"/>
      <c r="AN18" s="61"/>
      <c r="AO18" s="61"/>
      <c r="AP18" s="61"/>
      <c r="AQ18" s="61"/>
      <c r="AR18" s="62"/>
      <c r="AS18" s="4"/>
      <c r="AW18" s="4"/>
      <c r="AX18" s="4"/>
      <c r="AY18" s="4"/>
      <c r="AZ18" s="4"/>
      <c r="BA18" s="4"/>
      <c r="BB18" s="4"/>
      <c r="BC18" s="4"/>
      <c r="BD18" s="4"/>
      <c r="BE18" s="4"/>
    </row>
    <row r="19" spans="2:57" ht="12.75" customHeight="1" x14ac:dyDescent="0.35">
      <c r="B19" s="12" t="s">
        <v>24</v>
      </c>
      <c r="C19" s="11" t="s">
        <v>25</v>
      </c>
      <c r="D19" s="11" t="s">
        <v>26</v>
      </c>
      <c r="E19" s="11" t="s">
        <v>27</v>
      </c>
      <c r="F19" s="11" t="s">
        <v>28</v>
      </c>
      <c r="G19" s="39" t="s">
        <v>29</v>
      </c>
      <c r="H19" s="39" t="s">
        <v>30</v>
      </c>
      <c r="I19" s="39" t="s">
        <v>31</v>
      </c>
      <c r="J19" s="39" t="s">
        <v>32</v>
      </c>
      <c r="K19" s="39" t="s">
        <v>33</v>
      </c>
      <c r="L19" s="40" t="s">
        <v>34</v>
      </c>
      <c r="M19" s="41" t="s">
        <v>35</v>
      </c>
      <c r="N19" s="39" t="s">
        <v>36</v>
      </c>
      <c r="O19" s="39" t="s">
        <v>37</v>
      </c>
      <c r="P19" s="39" t="s">
        <v>38</v>
      </c>
      <c r="Q19" s="39" t="s">
        <v>39</v>
      </c>
      <c r="R19" s="39" t="s">
        <v>40</v>
      </c>
      <c r="S19" s="39" t="s">
        <v>29</v>
      </c>
      <c r="T19" s="39" t="s">
        <v>30</v>
      </c>
      <c r="U19" s="39" t="s">
        <v>31</v>
      </c>
      <c r="V19" s="39" t="s">
        <v>32</v>
      </c>
      <c r="W19" s="39" t="s">
        <v>33</v>
      </c>
      <c r="X19" s="40" t="s">
        <v>34</v>
      </c>
      <c r="Y19" s="41" t="s">
        <v>35</v>
      </c>
      <c r="Z19" s="39" t="s">
        <v>36</v>
      </c>
      <c r="AA19" s="39" t="s">
        <v>37</v>
      </c>
      <c r="AB19" s="39" t="s">
        <v>38</v>
      </c>
      <c r="AC19" s="39" t="s">
        <v>39</v>
      </c>
      <c r="AD19" s="39" t="s">
        <v>40</v>
      </c>
      <c r="AE19" s="39" t="s">
        <v>29</v>
      </c>
      <c r="AF19" s="39" t="s">
        <v>30</v>
      </c>
      <c r="AG19" s="39" t="s">
        <v>31</v>
      </c>
      <c r="AH19" s="39" t="s">
        <v>32</v>
      </c>
      <c r="AI19" s="39" t="s">
        <v>33</v>
      </c>
      <c r="AJ19" s="40" t="s">
        <v>34</v>
      </c>
      <c r="AK19" s="41" t="s">
        <v>35</v>
      </c>
      <c r="AL19" s="39" t="s">
        <v>36</v>
      </c>
      <c r="AM19" s="39" t="s">
        <v>37</v>
      </c>
      <c r="AN19" s="39" t="s">
        <v>38</v>
      </c>
      <c r="AO19" s="39" t="s">
        <v>39</v>
      </c>
      <c r="AP19" s="39" t="s">
        <v>40</v>
      </c>
      <c r="AQ19" s="39" t="s">
        <v>29</v>
      </c>
      <c r="AR19" s="40" t="s">
        <v>30</v>
      </c>
      <c r="AS19" s="4"/>
      <c r="AW19" s="70" t="s">
        <v>41</v>
      </c>
      <c r="AX19" s="58"/>
      <c r="AY19" s="58"/>
      <c r="AZ19" s="58"/>
      <c r="BA19" s="58"/>
      <c r="BB19" s="58"/>
      <c r="BC19" s="58"/>
      <c r="BD19" s="59"/>
      <c r="BE19" s="10" t="s">
        <v>42</v>
      </c>
    </row>
    <row r="20" spans="2:57" s="9" customFormat="1" ht="15" customHeight="1" x14ac:dyDescent="0.25">
      <c r="B20" s="64" t="s">
        <v>43</v>
      </c>
      <c r="C20" s="69"/>
      <c r="D20" s="69"/>
      <c r="E20" s="69"/>
      <c r="F20" s="6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4"/>
      <c r="AW20" s="32"/>
      <c r="AX20" s="32"/>
      <c r="AY20" s="32"/>
      <c r="AZ20" s="32"/>
      <c r="BA20" s="32"/>
      <c r="BB20" s="32"/>
      <c r="BC20" s="32"/>
      <c r="BD20" s="36"/>
      <c r="BE20" s="4"/>
    </row>
    <row r="21" spans="2:57" s="9" customFormat="1" x14ac:dyDescent="0.25">
      <c r="B21" s="7" t="s">
        <v>11</v>
      </c>
      <c r="C21" s="9" t="s">
        <v>44</v>
      </c>
      <c r="D21" s="8" t="s">
        <v>45</v>
      </c>
      <c r="E21" s="55" t="s">
        <v>46</v>
      </c>
      <c r="F21" s="8">
        <v>16000</v>
      </c>
      <c r="G21" s="47">
        <v>1</v>
      </c>
      <c r="H21" s="47">
        <v>1</v>
      </c>
      <c r="I21" s="47">
        <v>1</v>
      </c>
      <c r="J21" s="47">
        <v>1</v>
      </c>
      <c r="K21" s="47">
        <v>1</v>
      </c>
      <c r="L21" s="47">
        <v>1</v>
      </c>
      <c r="M21" s="47">
        <v>1</v>
      </c>
      <c r="N21" s="47">
        <v>1</v>
      </c>
      <c r="O21" s="47">
        <v>1</v>
      </c>
      <c r="P21" s="47">
        <v>1</v>
      </c>
      <c r="Q21" s="47">
        <v>1</v>
      </c>
      <c r="R21" s="47">
        <v>1</v>
      </c>
      <c r="S21" s="47">
        <v>1</v>
      </c>
      <c r="T21" s="47">
        <v>1</v>
      </c>
      <c r="U21" s="47">
        <v>1</v>
      </c>
      <c r="V21" s="47">
        <v>1</v>
      </c>
      <c r="W21" s="47">
        <v>1</v>
      </c>
      <c r="X21" s="47">
        <v>1</v>
      </c>
      <c r="Y21" s="47">
        <v>1</v>
      </c>
      <c r="Z21" s="47">
        <v>1</v>
      </c>
      <c r="AA21" s="47">
        <v>1</v>
      </c>
      <c r="AB21" s="47">
        <v>0.5</v>
      </c>
      <c r="AC21" s="47">
        <v>0.5</v>
      </c>
      <c r="AD21" s="47">
        <v>0.5</v>
      </c>
      <c r="AE21" s="47">
        <v>0.5</v>
      </c>
      <c r="AF21" s="47">
        <v>0.5</v>
      </c>
      <c r="AG21" s="48">
        <v>0.5</v>
      </c>
      <c r="AH21" s="48">
        <v>0.5</v>
      </c>
      <c r="AI21" s="48">
        <v>0.5</v>
      </c>
      <c r="AJ21" s="48">
        <v>0.5</v>
      </c>
      <c r="AK21" s="48">
        <v>0.5</v>
      </c>
      <c r="AL21" s="48">
        <v>0.5</v>
      </c>
      <c r="AM21" s="48">
        <v>0.5</v>
      </c>
      <c r="AN21" s="48">
        <v>0.5</v>
      </c>
      <c r="AO21" s="48">
        <v>0.5</v>
      </c>
      <c r="AP21" s="48">
        <v>0.5</v>
      </c>
      <c r="AQ21" s="48">
        <v>0.5</v>
      </c>
      <c r="AR21" s="48">
        <v>0.5</v>
      </c>
      <c r="AS21" s="4"/>
      <c r="AW21" s="49">
        <f t="shared" ref="AW21:BC25" si="4">SUMIF($G$6:$AR$6,AW$7,$G21:$AR21)</f>
        <v>1</v>
      </c>
      <c r="AX21" s="49">
        <f t="shared" si="4"/>
        <v>3</v>
      </c>
      <c r="AY21" s="49">
        <f t="shared" si="4"/>
        <v>6</v>
      </c>
      <c r="AZ21" s="49">
        <f t="shared" si="4"/>
        <v>3</v>
      </c>
      <c r="BA21" s="49">
        <f t="shared" si="4"/>
        <v>3</v>
      </c>
      <c r="BB21" s="49">
        <f t="shared" si="4"/>
        <v>2</v>
      </c>
      <c r="BC21" s="49">
        <f t="shared" si="4"/>
        <v>11.5</v>
      </c>
      <c r="BD21" s="50">
        <f>SUM(AW21:BC21)</f>
        <v>29.5</v>
      </c>
      <c r="BE21" s="51">
        <f>F21*BD21</f>
        <v>472000</v>
      </c>
    </row>
    <row r="22" spans="2:57" x14ac:dyDescent="0.25">
      <c r="B22" s="7" t="s">
        <v>19</v>
      </c>
      <c r="C22" s="9" t="s">
        <v>44</v>
      </c>
      <c r="D22" s="8" t="s">
        <v>47</v>
      </c>
      <c r="E22" s="55" t="s">
        <v>48</v>
      </c>
      <c r="F22" s="8">
        <v>15000</v>
      </c>
      <c r="G22" s="47">
        <v>0.5</v>
      </c>
      <c r="H22" s="47">
        <v>1</v>
      </c>
      <c r="I22" s="47">
        <v>1</v>
      </c>
      <c r="J22" s="47">
        <v>1</v>
      </c>
      <c r="K22" s="47">
        <v>1</v>
      </c>
      <c r="L22" s="47">
        <v>1</v>
      </c>
      <c r="M22" s="47">
        <v>1</v>
      </c>
      <c r="N22" s="47">
        <v>1</v>
      </c>
      <c r="O22" s="47">
        <v>1</v>
      </c>
      <c r="P22" s="47">
        <v>1</v>
      </c>
      <c r="Q22" s="47">
        <v>1</v>
      </c>
      <c r="R22" s="47">
        <v>1</v>
      </c>
      <c r="S22" s="47">
        <v>1</v>
      </c>
      <c r="T22" s="47">
        <v>1</v>
      </c>
      <c r="U22" s="47">
        <v>1</v>
      </c>
      <c r="V22" s="47">
        <v>1</v>
      </c>
      <c r="W22" s="47">
        <v>1</v>
      </c>
      <c r="X22" s="47">
        <v>1</v>
      </c>
      <c r="Y22" s="47">
        <v>0.5</v>
      </c>
      <c r="Z22" s="47">
        <v>0.5</v>
      </c>
      <c r="AA22" s="47">
        <v>0.5</v>
      </c>
      <c r="AB22" s="47"/>
      <c r="AC22" s="47"/>
      <c r="AD22" s="47"/>
      <c r="AE22" s="47"/>
      <c r="AF22" s="47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"/>
      <c r="AW22" s="49">
        <f t="shared" si="4"/>
        <v>0.5</v>
      </c>
      <c r="AX22" s="49">
        <f t="shared" si="4"/>
        <v>3</v>
      </c>
      <c r="AY22" s="49">
        <f t="shared" si="4"/>
        <v>6</v>
      </c>
      <c r="AZ22" s="49">
        <f t="shared" si="4"/>
        <v>3</v>
      </c>
      <c r="BA22" s="49">
        <f t="shared" si="4"/>
        <v>3</v>
      </c>
      <c r="BB22" s="49">
        <f t="shared" si="4"/>
        <v>2</v>
      </c>
      <c r="BC22" s="49">
        <f t="shared" si="4"/>
        <v>1.5</v>
      </c>
      <c r="BD22" s="50">
        <f>SUM(AW22:BC22)</f>
        <v>19</v>
      </c>
      <c r="BE22" s="51">
        <f>F22*BD22</f>
        <v>285000</v>
      </c>
    </row>
    <row r="23" spans="2:57" x14ac:dyDescent="0.25">
      <c r="B23" s="7" t="s">
        <v>17</v>
      </c>
      <c r="C23" s="9" t="s">
        <v>44</v>
      </c>
      <c r="D23" s="8" t="s">
        <v>49</v>
      </c>
      <c r="E23" s="55" t="s">
        <v>50</v>
      </c>
      <c r="F23" s="8">
        <v>15000</v>
      </c>
      <c r="G23" s="47">
        <v>0.5</v>
      </c>
      <c r="H23" s="47">
        <v>1</v>
      </c>
      <c r="I23" s="47">
        <v>1</v>
      </c>
      <c r="J23" s="47">
        <v>1</v>
      </c>
      <c r="K23" s="47">
        <v>1</v>
      </c>
      <c r="L23" s="47">
        <v>1</v>
      </c>
      <c r="M23" s="47">
        <v>1</v>
      </c>
      <c r="N23" s="47">
        <v>1</v>
      </c>
      <c r="O23" s="47">
        <v>1</v>
      </c>
      <c r="P23" s="47">
        <v>1</v>
      </c>
      <c r="Q23" s="47">
        <v>1</v>
      </c>
      <c r="R23" s="47">
        <v>1</v>
      </c>
      <c r="S23" s="47">
        <v>1</v>
      </c>
      <c r="T23" s="47">
        <v>1</v>
      </c>
      <c r="U23" s="47">
        <v>1</v>
      </c>
      <c r="V23" s="47">
        <v>1</v>
      </c>
      <c r="W23" s="47">
        <v>1</v>
      </c>
      <c r="X23" s="47">
        <v>1</v>
      </c>
      <c r="Y23" s="47">
        <v>1</v>
      </c>
      <c r="Z23" s="47">
        <v>1</v>
      </c>
      <c r="AA23" s="47">
        <v>1</v>
      </c>
      <c r="AB23" s="47">
        <v>0.5</v>
      </c>
      <c r="AC23" s="47">
        <v>0.5</v>
      </c>
      <c r="AD23" s="47">
        <v>0.5</v>
      </c>
      <c r="AE23" s="47">
        <v>0.5</v>
      </c>
      <c r="AF23" s="47">
        <v>0.5</v>
      </c>
      <c r="AG23" s="48">
        <v>0.5</v>
      </c>
      <c r="AH23" s="48">
        <v>0.5</v>
      </c>
      <c r="AI23" s="48">
        <v>0.5</v>
      </c>
      <c r="AJ23" s="48">
        <v>0.5</v>
      </c>
      <c r="AK23" s="48">
        <v>0.5</v>
      </c>
      <c r="AL23" s="48">
        <v>0.5</v>
      </c>
      <c r="AM23" s="48">
        <v>0.5</v>
      </c>
      <c r="AN23" s="48">
        <v>0.5</v>
      </c>
      <c r="AO23" s="48">
        <v>0.5</v>
      </c>
      <c r="AP23" s="48">
        <v>0.5</v>
      </c>
      <c r="AQ23" s="48">
        <v>0.5</v>
      </c>
      <c r="AR23" s="48">
        <v>0.5</v>
      </c>
      <c r="AS23" s="4"/>
      <c r="AW23" s="49">
        <f t="shared" si="4"/>
        <v>0.5</v>
      </c>
      <c r="AX23" s="49">
        <f t="shared" si="4"/>
        <v>3</v>
      </c>
      <c r="AY23" s="49">
        <f t="shared" si="4"/>
        <v>6</v>
      </c>
      <c r="AZ23" s="49">
        <f t="shared" si="4"/>
        <v>3</v>
      </c>
      <c r="BA23" s="49">
        <f t="shared" si="4"/>
        <v>3</v>
      </c>
      <c r="BB23" s="49">
        <f t="shared" si="4"/>
        <v>2</v>
      </c>
      <c r="BC23" s="49">
        <f t="shared" si="4"/>
        <v>11.5</v>
      </c>
      <c r="BD23" s="50">
        <f>SUM(AW23:BC23)</f>
        <v>29</v>
      </c>
      <c r="BE23" s="51">
        <f>F23*BD23</f>
        <v>435000</v>
      </c>
    </row>
    <row r="24" spans="2:57" x14ac:dyDescent="0.25">
      <c r="B24" s="7" t="s">
        <v>16</v>
      </c>
      <c r="C24" s="9" t="s">
        <v>44</v>
      </c>
      <c r="D24" s="8" t="s">
        <v>51</v>
      </c>
      <c r="E24" s="6" t="s">
        <v>52</v>
      </c>
      <c r="F24" s="8">
        <v>14000</v>
      </c>
      <c r="G24" s="47">
        <v>0.5</v>
      </c>
      <c r="H24" s="47">
        <v>1</v>
      </c>
      <c r="I24" s="47">
        <v>1</v>
      </c>
      <c r="J24" s="47">
        <v>1</v>
      </c>
      <c r="K24" s="47">
        <v>1</v>
      </c>
      <c r="L24" s="47">
        <v>1</v>
      </c>
      <c r="M24" s="47">
        <v>1</v>
      </c>
      <c r="N24" s="47">
        <v>1</v>
      </c>
      <c r="O24" s="47">
        <v>1</v>
      </c>
      <c r="P24" s="47">
        <v>1</v>
      </c>
      <c r="Q24" s="47">
        <v>1</v>
      </c>
      <c r="R24" s="47">
        <v>1</v>
      </c>
      <c r="S24" s="47">
        <v>1</v>
      </c>
      <c r="T24" s="47">
        <v>1</v>
      </c>
      <c r="U24" s="47">
        <v>1</v>
      </c>
      <c r="V24" s="47">
        <v>1</v>
      </c>
      <c r="W24" s="47">
        <v>1</v>
      </c>
      <c r="X24" s="47">
        <v>1</v>
      </c>
      <c r="Y24" s="47">
        <v>0.5</v>
      </c>
      <c r="Z24" s="47">
        <v>0.5</v>
      </c>
      <c r="AA24" s="47">
        <v>0.5</v>
      </c>
      <c r="AB24" s="47">
        <v>0.5</v>
      </c>
      <c r="AC24" s="47">
        <v>0.5</v>
      </c>
      <c r="AD24" s="47">
        <v>0.5</v>
      </c>
      <c r="AE24" s="47">
        <v>0.5</v>
      </c>
      <c r="AF24" s="47">
        <v>0.5</v>
      </c>
      <c r="AG24" s="48">
        <v>0.5</v>
      </c>
      <c r="AH24" s="48">
        <v>0.5</v>
      </c>
      <c r="AI24" s="48">
        <v>0.5</v>
      </c>
      <c r="AJ24" s="48">
        <v>0.5</v>
      </c>
      <c r="AK24" s="48">
        <v>0.5</v>
      </c>
      <c r="AL24" s="48">
        <v>0.5</v>
      </c>
      <c r="AM24" s="48">
        <v>0.5</v>
      </c>
      <c r="AN24" s="48">
        <v>0.5</v>
      </c>
      <c r="AO24" s="48">
        <v>0.5</v>
      </c>
      <c r="AP24" s="48">
        <v>0.5</v>
      </c>
      <c r="AQ24" s="48">
        <v>0.5</v>
      </c>
      <c r="AR24" s="48">
        <v>0.5</v>
      </c>
      <c r="AS24" s="4"/>
      <c r="AW24" s="49">
        <f t="shared" si="4"/>
        <v>0.5</v>
      </c>
      <c r="AX24" s="49">
        <f t="shared" si="4"/>
        <v>3</v>
      </c>
      <c r="AY24" s="49">
        <f t="shared" si="4"/>
        <v>6</v>
      </c>
      <c r="AZ24" s="49">
        <f t="shared" si="4"/>
        <v>3</v>
      </c>
      <c r="BA24" s="49">
        <f t="shared" si="4"/>
        <v>3</v>
      </c>
      <c r="BB24" s="49">
        <f t="shared" si="4"/>
        <v>2</v>
      </c>
      <c r="BC24" s="49">
        <f t="shared" si="4"/>
        <v>10</v>
      </c>
      <c r="BD24" s="50">
        <f>SUM(AW24:BC24)</f>
        <v>27.5</v>
      </c>
      <c r="BE24" s="51">
        <f>F24*BD24</f>
        <v>385000</v>
      </c>
    </row>
    <row r="25" spans="2:57" s="9" customFormat="1" x14ac:dyDescent="0.25">
      <c r="B25" s="7" t="s">
        <v>19</v>
      </c>
      <c r="C25" s="9" t="s">
        <v>44</v>
      </c>
      <c r="D25" s="8" t="s">
        <v>53</v>
      </c>
      <c r="E25" s="6" t="s">
        <v>54</v>
      </c>
      <c r="F25" s="8">
        <v>13000</v>
      </c>
      <c r="G25" s="47">
        <v>0.5</v>
      </c>
      <c r="H25" s="47">
        <v>1</v>
      </c>
      <c r="I25" s="47">
        <v>1</v>
      </c>
      <c r="J25" s="47">
        <v>1</v>
      </c>
      <c r="K25" s="47">
        <v>1</v>
      </c>
      <c r="L25" s="47">
        <v>1</v>
      </c>
      <c r="M25" s="47">
        <v>1</v>
      </c>
      <c r="N25" s="47">
        <v>1</v>
      </c>
      <c r="O25" s="47">
        <v>1</v>
      </c>
      <c r="P25" s="47">
        <v>1</v>
      </c>
      <c r="Q25" s="47">
        <v>1</v>
      </c>
      <c r="R25" s="47">
        <v>1</v>
      </c>
      <c r="S25" s="47">
        <v>1</v>
      </c>
      <c r="T25" s="47">
        <v>1</v>
      </c>
      <c r="U25" s="47">
        <v>1</v>
      </c>
      <c r="V25" s="47">
        <v>1</v>
      </c>
      <c r="W25" s="47">
        <v>1</v>
      </c>
      <c r="X25" s="47">
        <v>1</v>
      </c>
      <c r="Y25" s="47">
        <v>1</v>
      </c>
      <c r="Z25" s="47">
        <v>1</v>
      </c>
      <c r="AA25" s="47">
        <v>1</v>
      </c>
      <c r="AB25" s="47">
        <v>0.5</v>
      </c>
      <c r="AC25" s="47">
        <v>0.5</v>
      </c>
      <c r="AD25" s="47">
        <v>0.5</v>
      </c>
      <c r="AE25" s="47">
        <v>0.5</v>
      </c>
      <c r="AF25" s="47">
        <v>0.5</v>
      </c>
      <c r="AG25" s="48">
        <v>0.5</v>
      </c>
      <c r="AH25" s="48">
        <v>0.5</v>
      </c>
      <c r="AI25" s="48">
        <v>0.5</v>
      </c>
      <c r="AJ25" s="48">
        <v>0.5</v>
      </c>
      <c r="AK25" s="48">
        <v>0.5</v>
      </c>
      <c r="AL25" s="48">
        <v>0.5</v>
      </c>
      <c r="AM25" s="48">
        <v>0.5</v>
      </c>
      <c r="AN25" s="48">
        <v>0.5</v>
      </c>
      <c r="AO25" s="48">
        <v>0.5</v>
      </c>
      <c r="AP25" s="48">
        <v>0.5</v>
      </c>
      <c r="AQ25" s="48">
        <v>0.5</v>
      </c>
      <c r="AR25" s="48">
        <v>0.5</v>
      </c>
      <c r="AS25" s="4"/>
      <c r="AW25" s="49">
        <f t="shared" si="4"/>
        <v>0.5</v>
      </c>
      <c r="AX25" s="49">
        <f t="shared" si="4"/>
        <v>3</v>
      </c>
      <c r="AY25" s="49">
        <f t="shared" si="4"/>
        <v>6</v>
      </c>
      <c r="AZ25" s="49">
        <f t="shared" si="4"/>
        <v>3</v>
      </c>
      <c r="BA25" s="49">
        <f t="shared" si="4"/>
        <v>3</v>
      </c>
      <c r="BB25" s="49">
        <f t="shared" si="4"/>
        <v>2</v>
      </c>
      <c r="BC25" s="49">
        <f t="shared" si="4"/>
        <v>11.5</v>
      </c>
      <c r="BD25" s="50">
        <f>SUM(AW25:BC25)</f>
        <v>29</v>
      </c>
      <c r="BE25" s="51">
        <f>F25*BD25</f>
        <v>377000</v>
      </c>
    </row>
    <row r="26" spans="2:57" s="9" customFormat="1" ht="15" customHeight="1" x14ac:dyDescent="0.25">
      <c r="B26" s="64" t="s">
        <v>55</v>
      </c>
      <c r="C26" s="69"/>
      <c r="D26" s="69"/>
      <c r="E26" s="69"/>
      <c r="F26" s="6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28"/>
      <c r="AW26" s="32"/>
      <c r="AX26" s="32"/>
      <c r="AY26" s="32"/>
      <c r="AZ26" s="32"/>
      <c r="BA26" s="32"/>
      <c r="BB26" s="32"/>
      <c r="BC26" s="32"/>
      <c r="BD26" s="36"/>
      <c r="BE26" s="4"/>
    </row>
    <row r="27" spans="2:57" x14ac:dyDescent="0.25">
      <c r="B27" s="7" t="s">
        <v>19</v>
      </c>
      <c r="C27" s="9" t="s">
        <v>44</v>
      </c>
      <c r="D27" s="8" t="s">
        <v>56</v>
      </c>
      <c r="E27" s="6" t="s">
        <v>57</v>
      </c>
      <c r="F27" s="8">
        <v>11000</v>
      </c>
      <c r="G27" s="47"/>
      <c r="H27" s="47">
        <v>1</v>
      </c>
      <c r="I27" s="47">
        <v>1</v>
      </c>
      <c r="J27" s="47">
        <v>1</v>
      </c>
      <c r="K27" s="47">
        <v>1</v>
      </c>
      <c r="L27" s="47">
        <v>1</v>
      </c>
      <c r="M27" s="47">
        <v>1</v>
      </c>
      <c r="N27" s="47">
        <v>1</v>
      </c>
      <c r="O27" s="47">
        <v>1</v>
      </c>
      <c r="P27" s="47">
        <v>1</v>
      </c>
      <c r="Q27" s="47">
        <v>1</v>
      </c>
      <c r="R27" s="47">
        <v>1</v>
      </c>
      <c r="S27" s="47">
        <v>1</v>
      </c>
      <c r="T27" s="47">
        <v>1</v>
      </c>
      <c r="U27" s="47">
        <v>1</v>
      </c>
      <c r="V27" s="47">
        <v>1</v>
      </c>
      <c r="W27" s="47">
        <v>1</v>
      </c>
      <c r="X27" s="47">
        <v>1</v>
      </c>
      <c r="Y27" s="47">
        <v>1</v>
      </c>
      <c r="Z27" s="47">
        <v>1</v>
      </c>
      <c r="AA27" s="47">
        <v>1</v>
      </c>
      <c r="AB27" s="47">
        <v>1</v>
      </c>
      <c r="AC27" s="47">
        <v>1</v>
      </c>
      <c r="AD27" s="47">
        <v>1</v>
      </c>
      <c r="AE27" s="47">
        <v>1</v>
      </c>
      <c r="AF27" s="47">
        <v>1</v>
      </c>
      <c r="AG27" s="48">
        <v>1</v>
      </c>
      <c r="AH27" s="48">
        <v>1</v>
      </c>
      <c r="AI27" s="48">
        <v>1</v>
      </c>
      <c r="AJ27" s="48">
        <v>1</v>
      </c>
      <c r="AK27" s="47">
        <v>1</v>
      </c>
      <c r="AL27" s="47">
        <v>1</v>
      </c>
      <c r="AM27" s="47">
        <v>1</v>
      </c>
      <c r="AN27" s="47">
        <v>1</v>
      </c>
      <c r="AO27" s="47">
        <v>1</v>
      </c>
      <c r="AP27" s="47">
        <v>1</v>
      </c>
      <c r="AQ27" s="47">
        <v>1</v>
      </c>
      <c r="AR27" s="47">
        <v>1</v>
      </c>
      <c r="AS27" s="4"/>
      <c r="AW27" s="49">
        <f t="shared" ref="AW27:BC29" si="5">SUMIF($G$6:$AR$6,AW$7,$G27:$AR27)</f>
        <v>0</v>
      </c>
      <c r="AX27" s="49">
        <f t="shared" si="5"/>
        <v>3</v>
      </c>
      <c r="AY27" s="49">
        <f t="shared" si="5"/>
        <v>6</v>
      </c>
      <c r="AZ27" s="49">
        <f t="shared" si="5"/>
        <v>3</v>
      </c>
      <c r="BA27" s="49">
        <f t="shared" si="5"/>
        <v>3</v>
      </c>
      <c r="BB27" s="49">
        <f t="shared" si="5"/>
        <v>2</v>
      </c>
      <c r="BC27" s="49">
        <f t="shared" si="5"/>
        <v>20</v>
      </c>
      <c r="BD27" s="50">
        <f>SUM(AW27:BC27)</f>
        <v>37</v>
      </c>
      <c r="BE27" s="51">
        <f>F27*BD27</f>
        <v>407000</v>
      </c>
    </row>
    <row r="28" spans="2:57" x14ac:dyDescent="0.25">
      <c r="B28" s="7" t="s">
        <v>19</v>
      </c>
      <c r="C28" s="9" t="s">
        <v>44</v>
      </c>
      <c r="D28" s="8" t="s">
        <v>58</v>
      </c>
      <c r="E28" s="6" t="s">
        <v>59</v>
      </c>
      <c r="F28" s="8">
        <v>9000</v>
      </c>
      <c r="G28" s="47"/>
      <c r="H28" s="47"/>
      <c r="I28" s="47"/>
      <c r="J28" s="47"/>
      <c r="K28" s="47">
        <v>0.5</v>
      </c>
      <c r="L28" s="47">
        <v>0.5</v>
      </c>
      <c r="M28" s="47">
        <v>0.5</v>
      </c>
      <c r="N28" s="47">
        <v>0.5</v>
      </c>
      <c r="O28" s="47">
        <v>0.5</v>
      </c>
      <c r="P28" s="47">
        <v>0.5</v>
      </c>
      <c r="Q28" s="47">
        <v>1</v>
      </c>
      <c r="R28" s="47">
        <v>1</v>
      </c>
      <c r="S28" s="47">
        <v>1</v>
      </c>
      <c r="T28" s="47">
        <v>1</v>
      </c>
      <c r="U28" s="47">
        <v>1</v>
      </c>
      <c r="V28" s="47">
        <v>1</v>
      </c>
      <c r="W28" s="47">
        <v>1</v>
      </c>
      <c r="X28" s="47">
        <v>1</v>
      </c>
      <c r="Y28" s="47">
        <v>1</v>
      </c>
      <c r="Z28" s="47">
        <v>1</v>
      </c>
      <c r="AA28" s="47">
        <v>1</v>
      </c>
      <c r="AB28" s="47">
        <v>1</v>
      </c>
      <c r="AC28" s="47">
        <v>1</v>
      </c>
      <c r="AD28" s="47">
        <v>1</v>
      </c>
      <c r="AE28" s="47">
        <v>1</v>
      </c>
      <c r="AF28" s="47">
        <v>1</v>
      </c>
      <c r="AG28" s="48">
        <v>1</v>
      </c>
      <c r="AH28" s="48">
        <v>1</v>
      </c>
      <c r="AI28" s="48">
        <v>1</v>
      </c>
      <c r="AJ28" s="48">
        <v>1</v>
      </c>
      <c r="AK28" s="47">
        <v>1</v>
      </c>
      <c r="AL28" s="47">
        <v>1</v>
      </c>
      <c r="AM28" s="47">
        <v>1</v>
      </c>
      <c r="AN28" s="47">
        <v>1</v>
      </c>
      <c r="AO28" s="47">
        <v>1</v>
      </c>
      <c r="AP28" s="47">
        <v>1</v>
      </c>
      <c r="AQ28" s="47">
        <v>1</v>
      </c>
      <c r="AR28" s="47">
        <v>1</v>
      </c>
      <c r="AS28" s="4"/>
      <c r="AW28" s="49">
        <f t="shared" si="5"/>
        <v>0</v>
      </c>
      <c r="AX28" s="49">
        <f t="shared" si="5"/>
        <v>0</v>
      </c>
      <c r="AY28" s="49">
        <f t="shared" si="5"/>
        <v>3</v>
      </c>
      <c r="AZ28" s="49">
        <f t="shared" si="5"/>
        <v>3</v>
      </c>
      <c r="BA28" s="49">
        <f t="shared" si="5"/>
        <v>3</v>
      </c>
      <c r="BB28" s="49">
        <f t="shared" si="5"/>
        <v>2</v>
      </c>
      <c r="BC28" s="49">
        <f t="shared" si="5"/>
        <v>20</v>
      </c>
      <c r="BD28" s="50">
        <f>SUM(AW28:BC28)</f>
        <v>31</v>
      </c>
      <c r="BE28" s="51">
        <f>F28*BD28</f>
        <v>279000</v>
      </c>
    </row>
    <row r="29" spans="2:57" x14ac:dyDescent="0.25">
      <c r="B29" s="7" t="s">
        <v>19</v>
      </c>
      <c r="C29" s="9" t="s">
        <v>44</v>
      </c>
      <c r="D29" s="8" t="s">
        <v>60</v>
      </c>
      <c r="E29" s="6" t="s">
        <v>61</v>
      </c>
      <c r="F29" s="8">
        <v>9000</v>
      </c>
      <c r="G29" s="47"/>
      <c r="H29" s="47"/>
      <c r="I29" s="47"/>
      <c r="J29" s="47"/>
      <c r="K29" s="47">
        <v>0.5</v>
      </c>
      <c r="L29" s="47">
        <v>0.5</v>
      </c>
      <c r="M29" s="47">
        <v>0.5</v>
      </c>
      <c r="N29" s="47">
        <v>0.5</v>
      </c>
      <c r="O29" s="47">
        <v>0.5</v>
      </c>
      <c r="P29" s="47">
        <v>0.5</v>
      </c>
      <c r="Q29" s="47">
        <v>1</v>
      </c>
      <c r="R29" s="47">
        <v>1</v>
      </c>
      <c r="S29" s="47">
        <v>1</v>
      </c>
      <c r="T29" s="47">
        <v>1</v>
      </c>
      <c r="U29" s="47">
        <v>1</v>
      </c>
      <c r="V29" s="47">
        <v>1</v>
      </c>
      <c r="W29" s="47">
        <v>1</v>
      </c>
      <c r="X29" s="47">
        <v>1</v>
      </c>
      <c r="Y29" s="47">
        <v>1</v>
      </c>
      <c r="Z29" s="47">
        <v>1</v>
      </c>
      <c r="AA29" s="47">
        <v>1</v>
      </c>
      <c r="AB29" s="47">
        <v>1</v>
      </c>
      <c r="AC29" s="47">
        <v>1</v>
      </c>
      <c r="AD29" s="47">
        <v>1</v>
      </c>
      <c r="AE29" s="47">
        <v>1</v>
      </c>
      <c r="AF29" s="47">
        <v>1</v>
      </c>
      <c r="AG29" s="47">
        <v>1</v>
      </c>
      <c r="AH29" s="47">
        <v>1</v>
      </c>
      <c r="AI29" s="47">
        <v>1</v>
      </c>
      <c r="AJ29" s="47">
        <v>1</v>
      </c>
      <c r="AK29" s="47">
        <v>1</v>
      </c>
      <c r="AL29" s="47">
        <v>1</v>
      </c>
      <c r="AM29" s="47">
        <v>1</v>
      </c>
      <c r="AN29" s="47">
        <v>1</v>
      </c>
      <c r="AO29" s="47">
        <v>1</v>
      </c>
      <c r="AP29" s="47">
        <v>1</v>
      </c>
      <c r="AQ29" s="47">
        <v>1</v>
      </c>
      <c r="AR29" s="47">
        <v>1</v>
      </c>
      <c r="AS29" s="4"/>
      <c r="AW29" s="49">
        <f t="shared" si="5"/>
        <v>0</v>
      </c>
      <c r="AX29" s="49">
        <f t="shared" si="5"/>
        <v>0</v>
      </c>
      <c r="AY29" s="49">
        <f t="shared" si="5"/>
        <v>3</v>
      </c>
      <c r="AZ29" s="49">
        <f t="shared" si="5"/>
        <v>3</v>
      </c>
      <c r="BA29" s="49">
        <f t="shared" si="5"/>
        <v>3</v>
      </c>
      <c r="BB29" s="49">
        <f t="shared" si="5"/>
        <v>2</v>
      </c>
      <c r="BC29" s="49">
        <f t="shared" si="5"/>
        <v>20</v>
      </c>
      <c r="BD29" s="50">
        <f>SUM(AW29:BC29)</f>
        <v>31</v>
      </c>
      <c r="BE29" s="51">
        <f>F29*BD29</f>
        <v>279000</v>
      </c>
    </row>
    <row r="30" spans="2:57" ht="15" customHeight="1" x14ac:dyDescent="0.25">
      <c r="B30" s="64" t="s">
        <v>62</v>
      </c>
      <c r="C30" s="61"/>
      <c r="D30" s="61"/>
      <c r="E30" s="61"/>
      <c r="F30" s="6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4"/>
      <c r="AW30" s="32"/>
      <c r="AX30" s="32"/>
      <c r="AY30" s="32"/>
      <c r="AZ30" s="32"/>
      <c r="BA30" s="32"/>
      <c r="BB30" s="32"/>
      <c r="BC30" s="32"/>
      <c r="BD30" s="36"/>
      <c r="BE30" s="4"/>
    </row>
    <row r="31" spans="2:57" x14ac:dyDescent="0.25">
      <c r="B31" s="7" t="s">
        <v>19</v>
      </c>
      <c r="C31" s="9" t="s">
        <v>44</v>
      </c>
      <c r="D31" s="8" t="s">
        <v>63</v>
      </c>
      <c r="E31" s="6" t="s">
        <v>64</v>
      </c>
      <c r="F31" s="8">
        <v>9000</v>
      </c>
      <c r="G31" s="47"/>
      <c r="H31" s="47"/>
      <c r="I31" s="47"/>
      <c r="J31" s="47"/>
      <c r="K31" s="47">
        <v>1</v>
      </c>
      <c r="L31" s="47">
        <v>1</v>
      </c>
      <c r="M31" s="47">
        <v>1</v>
      </c>
      <c r="N31" s="47">
        <v>1</v>
      </c>
      <c r="O31" s="47">
        <v>1</v>
      </c>
      <c r="P31" s="47">
        <v>1</v>
      </c>
      <c r="Q31" s="47">
        <v>1</v>
      </c>
      <c r="R31" s="47">
        <v>1</v>
      </c>
      <c r="S31" s="47">
        <v>1</v>
      </c>
      <c r="T31" s="47">
        <v>1</v>
      </c>
      <c r="U31" s="47">
        <v>1</v>
      </c>
      <c r="V31" s="47">
        <v>1</v>
      </c>
      <c r="W31" s="47">
        <v>1</v>
      </c>
      <c r="X31" s="47">
        <v>1</v>
      </c>
      <c r="Y31" s="47"/>
      <c r="Z31" s="47"/>
      <c r="AA31" s="47"/>
      <c r="AB31" s="47"/>
      <c r="AC31" s="47"/>
      <c r="AD31" s="47"/>
      <c r="AE31" s="47"/>
      <c r="AF31" s="47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"/>
      <c r="AW31" s="49">
        <f t="shared" ref="AW31:BC36" si="6">SUMIF($G$6:$AR$6,AW$7,$G31:$AR31)</f>
        <v>0</v>
      </c>
      <c r="AX31" s="49">
        <f t="shared" si="6"/>
        <v>0</v>
      </c>
      <c r="AY31" s="49">
        <f t="shared" si="6"/>
        <v>6</v>
      </c>
      <c r="AZ31" s="49">
        <f t="shared" si="6"/>
        <v>3</v>
      </c>
      <c r="BA31" s="49">
        <f t="shared" si="6"/>
        <v>3</v>
      </c>
      <c r="BB31" s="49">
        <f t="shared" si="6"/>
        <v>2</v>
      </c>
      <c r="BC31" s="49">
        <f t="shared" si="6"/>
        <v>0</v>
      </c>
      <c r="BD31" s="50">
        <f t="shared" ref="BD31:BD36" si="7">SUM(AW31:BC31)</f>
        <v>14</v>
      </c>
      <c r="BE31" s="51">
        <f t="shared" ref="BE31:BE36" si="8">F31*BD31</f>
        <v>126000</v>
      </c>
    </row>
    <row r="32" spans="2:57" x14ac:dyDescent="0.25">
      <c r="B32" s="7" t="s">
        <v>19</v>
      </c>
      <c r="C32" s="9" t="s">
        <v>44</v>
      </c>
      <c r="D32" s="8" t="s">
        <v>65</v>
      </c>
      <c r="E32" s="6" t="s">
        <v>66</v>
      </c>
      <c r="F32" s="8">
        <v>9000</v>
      </c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>
        <v>0.5</v>
      </c>
      <c r="R32" s="47">
        <v>0.5</v>
      </c>
      <c r="S32" s="47">
        <v>0.5</v>
      </c>
      <c r="T32" s="47">
        <v>0.5</v>
      </c>
      <c r="U32" s="47">
        <v>0.5</v>
      </c>
      <c r="V32" s="47">
        <v>0.5</v>
      </c>
      <c r="W32" s="47">
        <v>0.5</v>
      </c>
      <c r="X32" s="47">
        <v>0.5</v>
      </c>
      <c r="Y32" s="47">
        <v>1</v>
      </c>
      <c r="Z32" s="47">
        <v>1</v>
      </c>
      <c r="AA32" s="47">
        <v>1</v>
      </c>
      <c r="AB32" s="47">
        <v>1</v>
      </c>
      <c r="AC32" s="47">
        <v>1</v>
      </c>
      <c r="AD32" s="47">
        <v>1</v>
      </c>
      <c r="AE32" s="47">
        <v>1</v>
      </c>
      <c r="AF32" s="47">
        <v>1</v>
      </c>
      <c r="AG32" s="48">
        <v>1</v>
      </c>
      <c r="AH32" s="48">
        <v>1</v>
      </c>
      <c r="AI32" s="48">
        <v>1</v>
      </c>
      <c r="AJ32" s="48">
        <v>1</v>
      </c>
      <c r="AK32" s="48">
        <v>1</v>
      </c>
      <c r="AL32" s="48">
        <v>1</v>
      </c>
      <c r="AM32" s="48">
        <v>1</v>
      </c>
      <c r="AN32" s="48">
        <v>1</v>
      </c>
      <c r="AO32" s="48">
        <v>1</v>
      </c>
      <c r="AP32" s="48">
        <v>1</v>
      </c>
      <c r="AQ32" s="48">
        <v>1</v>
      </c>
      <c r="AR32" s="48">
        <v>1</v>
      </c>
      <c r="AS32" s="4"/>
      <c r="AW32" s="49">
        <f t="shared" si="6"/>
        <v>0</v>
      </c>
      <c r="AX32" s="49">
        <f t="shared" si="6"/>
        <v>0</v>
      </c>
      <c r="AY32" s="49">
        <f t="shared" si="6"/>
        <v>0</v>
      </c>
      <c r="AZ32" s="49">
        <f t="shared" si="6"/>
        <v>1.5</v>
      </c>
      <c r="BA32" s="49">
        <f t="shared" si="6"/>
        <v>1.5</v>
      </c>
      <c r="BB32" s="49">
        <f t="shared" si="6"/>
        <v>1</v>
      </c>
      <c r="BC32" s="49">
        <f t="shared" si="6"/>
        <v>20</v>
      </c>
      <c r="BD32" s="50">
        <f t="shared" si="7"/>
        <v>24</v>
      </c>
      <c r="BE32" s="51">
        <f t="shared" si="8"/>
        <v>216000</v>
      </c>
    </row>
    <row r="33" spans="2:57" x14ac:dyDescent="0.25">
      <c r="B33" s="7" t="s">
        <v>20</v>
      </c>
      <c r="C33" s="9" t="s">
        <v>44</v>
      </c>
      <c r="D33" s="8" t="s">
        <v>67</v>
      </c>
      <c r="E33" s="6" t="s">
        <v>68</v>
      </c>
      <c r="F33" s="8">
        <v>8000</v>
      </c>
      <c r="G33" s="47"/>
      <c r="H33" s="47"/>
      <c r="I33" s="47"/>
      <c r="J33" s="47"/>
      <c r="K33" s="47">
        <v>1</v>
      </c>
      <c r="L33" s="47">
        <v>1</v>
      </c>
      <c r="M33" s="47">
        <v>1</v>
      </c>
      <c r="N33" s="47">
        <v>1</v>
      </c>
      <c r="O33" s="47">
        <v>1</v>
      </c>
      <c r="P33" s="47">
        <v>1</v>
      </c>
      <c r="Q33" s="47">
        <v>1</v>
      </c>
      <c r="R33" s="47">
        <v>1</v>
      </c>
      <c r="S33" s="47">
        <v>1</v>
      </c>
      <c r="T33" s="47">
        <v>1</v>
      </c>
      <c r="U33" s="47">
        <v>1</v>
      </c>
      <c r="V33" s="47">
        <v>1</v>
      </c>
      <c r="W33" s="47">
        <v>1</v>
      </c>
      <c r="X33" s="47">
        <v>1</v>
      </c>
      <c r="Y33" s="47"/>
      <c r="Z33" s="47"/>
      <c r="AA33" s="47"/>
      <c r="AB33" s="47"/>
      <c r="AC33" s="47"/>
      <c r="AD33" s="47"/>
      <c r="AE33" s="47"/>
      <c r="AF33" s="47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"/>
      <c r="AW33" s="49">
        <f t="shared" si="6"/>
        <v>0</v>
      </c>
      <c r="AX33" s="49">
        <f t="shared" si="6"/>
        <v>0</v>
      </c>
      <c r="AY33" s="49">
        <f t="shared" si="6"/>
        <v>6</v>
      </c>
      <c r="AZ33" s="49">
        <f t="shared" si="6"/>
        <v>3</v>
      </c>
      <c r="BA33" s="49">
        <f t="shared" si="6"/>
        <v>3</v>
      </c>
      <c r="BB33" s="49">
        <f t="shared" si="6"/>
        <v>2</v>
      </c>
      <c r="BC33" s="49">
        <f t="shared" si="6"/>
        <v>0</v>
      </c>
      <c r="BD33" s="50">
        <f t="shared" si="7"/>
        <v>14</v>
      </c>
      <c r="BE33" s="51">
        <f t="shared" si="8"/>
        <v>112000</v>
      </c>
    </row>
    <row r="34" spans="2:57" ht="15.65" customHeight="1" x14ac:dyDescent="0.25">
      <c r="B34" s="7" t="s">
        <v>20</v>
      </c>
      <c r="C34" s="9" t="s">
        <v>44</v>
      </c>
      <c r="D34" s="8" t="s">
        <v>69</v>
      </c>
      <c r="E34" s="6" t="s">
        <v>70</v>
      </c>
      <c r="F34" s="8">
        <v>8000</v>
      </c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>
        <v>0.5</v>
      </c>
      <c r="R34" s="47">
        <v>0.5</v>
      </c>
      <c r="S34" s="47">
        <v>0.5</v>
      </c>
      <c r="T34" s="47">
        <v>0.5</v>
      </c>
      <c r="U34" s="47">
        <v>0.5</v>
      </c>
      <c r="V34" s="47">
        <v>0.5</v>
      </c>
      <c r="W34" s="47">
        <v>0.5</v>
      </c>
      <c r="X34" s="47">
        <v>0.5</v>
      </c>
      <c r="Y34" s="47">
        <v>1</v>
      </c>
      <c r="Z34" s="47">
        <v>1</v>
      </c>
      <c r="AA34" s="47">
        <v>1</v>
      </c>
      <c r="AB34" s="47">
        <v>1</v>
      </c>
      <c r="AC34" s="47">
        <v>1</v>
      </c>
      <c r="AD34" s="47">
        <v>1</v>
      </c>
      <c r="AE34" s="47">
        <v>1</v>
      </c>
      <c r="AF34" s="47">
        <v>1</v>
      </c>
      <c r="AG34" s="48">
        <v>1</v>
      </c>
      <c r="AH34" s="48">
        <v>1</v>
      </c>
      <c r="AI34" s="48">
        <v>1</v>
      </c>
      <c r="AJ34" s="48">
        <v>1</v>
      </c>
      <c r="AK34" s="48">
        <v>1</v>
      </c>
      <c r="AL34" s="48">
        <v>1</v>
      </c>
      <c r="AM34" s="48">
        <v>1</v>
      </c>
      <c r="AN34" s="48">
        <v>1</v>
      </c>
      <c r="AO34" s="48">
        <v>1</v>
      </c>
      <c r="AP34" s="48">
        <v>1</v>
      </c>
      <c r="AQ34" s="48">
        <v>1</v>
      </c>
      <c r="AR34" s="48">
        <v>1</v>
      </c>
      <c r="AS34" s="4"/>
      <c r="AW34" s="49">
        <f t="shared" si="6"/>
        <v>0</v>
      </c>
      <c r="AX34" s="49">
        <f t="shared" si="6"/>
        <v>0</v>
      </c>
      <c r="AY34" s="49">
        <f t="shared" si="6"/>
        <v>0</v>
      </c>
      <c r="AZ34" s="49">
        <f t="shared" si="6"/>
        <v>1.5</v>
      </c>
      <c r="BA34" s="49">
        <f t="shared" si="6"/>
        <v>1.5</v>
      </c>
      <c r="BB34" s="49">
        <f t="shared" si="6"/>
        <v>1</v>
      </c>
      <c r="BC34" s="49">
        <f t="shared" si="6"/>
        <v>20</v>
      </c>
      <c r="BD34" s="50">
        <f t="shared" si="7"/>
        <v>24</v>
      </c>
      <c r="BE34" s="51">
        <f t="shared" si="8"/>
        <v>192000</v>
      </c>
    </row>
    <row r="35" spans="2:57" ht="12.65" customHeight="1" x14ac:dyDescent="0.25">
      <c r="B35" s="7" t="s">
        <v>16</v>
      </c>
      <c r="C35" s="9" t="s">
        <v>44</v>
      </c>
      <c r="D35" s="8" t="s">
        <v>71</v>
      </c>
      <c r="E35" s="6" t="s">
        <v>72</v>
      </c>
      <c r="F35" s="8">
        <v>9000</v>
      </c>
      <c r="G35" s="47"/>
      <c r="H35" s="47"/>
      <c r="I35" s="47"/>
      <c r="J35" s="47"/>
      <c r="K35" s="47">
        <v>1</v>
      </c>
      <c r="L35" s="47">
        <v>1</v>
      </c>
      <c r="M35" s="47">
        <v>1</v>
      </c>
      <c r="N35" s="47">
        <v>1</v>
      </c>
      <c r="O35" s="47">
        <v>1</v>
      </c>
      <c r="P35" s="47">
        <v>1</v>
      </c>
      <c r="Q35" s="47">
        <v>1</v>
      </c>
      <c r="R35" s="47">
        <v>1</v>
      </c>
      <c r="S35" s="47">
        <v>1</v>
      </c>
      <c r="T35" s="47">
        <v>1</v>
      </c>
      <c r="U35" s="47">
        <v>1</v>
      </c>
      <c r="V35" s="47">
        <v>1</v>
      </c>
      <c r="W35" s="47">
        <v>1</v>
      </c>
      <c r="X35" s="47">
        <v>1</v>
      </c>
      <c r="Y35" s="47"/>
      <c r="Z35" s="47"/>
      <c r="AA35" s="47"/>
      <c r="AB35" s="47"/>
      <c r="AC35" s="47"/>
      <c r="AD35" s="47"/>
      <c r="AE35" s="47"/>
      <c r="AF35" s="47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"/>
      <c r="AW35" s="49">
        <f t="shared" si="6"/>
        <v>0</v>
      </c>
      <c r="AX35" s="49">
        <f t="shared" si="6"/>
        <v>0</v>
      </c>
      <c r="AY35" s="49">
        <f t="shared" si="6"/>
        <v>6</v>
      </c>
      <c r="AZ35" s="49">
        <f t="shared" si="6"/>
        <v>3</v>
      </c>
      <c r="BA35" s="49">
        <f t="shared" si="6"/>
        <v>3</v>
      </c>
      <c r="BB35" s="49">
        <f t="shared" si="6"/>
        <v>2</v>
      </c>
      <c r="BC35" s="49">
        <f t="shared" si="6"/>
        <v>0</v>
      </c>
      <c r="BD35" s="50">
        <f t="shared" si="7"/>
        <v>14</v>
      </c>
      <c r="BE35" s="51">
        <f t="shared" si="8"/>
        <v>126000</v>
      </c>
    </row>
    <row r="36" spans="2:57" ht="12.65" customHeight="1" x14ac:dyDescent="0.25">
      <c r="B36" s="7" t="s">
        <v>16</v>
      </c>
      <c r="C36" s="9" t="s">
        <v>44</v>
      </c>
      <c r="D36" s="8" t="s">
        <v>73</v>
      </c>
      <c r="E36" s="6" t="s">
        <v>74</v>
      </c>
      <c r="F36" s="8">
        <v>9000</v>
      </c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>
        <v>0.5</v>
      </c>
      <c r="R36" s="47">
        <v>0.5</v>
      </c>
      <c r="S36" s="47">
        <v>0.5</v>
      </c>
      <c r="T36" s="47">
        <v>1</v>
      </c>
      <c r="U36" s="47">
        <v>1</v>
      </c>
      <c r="V36" s="47">
        <v>1</v>
      </c>
      <c r="W36" s="47">
        <v>1</v>
      </c>
      <c r="X36" s="47">
        <v>1</v>
      </c>
      <c r="Y36" s="47">
        <v>1</v>
      </c>
      <c r="Z36" s="47">
        <v>1</v>
      </c>
      <c r="AA36" s="47">
        <v>1</v>
      </c>
      <c r="AB36" s="47">
        <v>1</v>
      </c>
      <c r="AC36" s="47">
        <v>1</v>
      </c>
      <c r="AD36" s="47">
        <v>1</v>
      </c>
      <c r="AE36" s="47">
        <v>1</v>
      </c>
      <c r="AF36" s="47">
        <v>1</v>
      </c>
      <c r="AG36" s="48">
        <v>1</v>
      </c>
      <c r="AH36" s="48">
        <v>1</v>
      </c>
      <c r="AI36" s="48">
        <v>1</v>
      </c>
      <c r="AJ36" s="48">
        <v>1</v>
      </c>
      <c r="AK36" s="47">
        <v>1</v>
      </c>
      <c r="AL36" s="47">
        <v>1</v>
      </c>
      <c r="AM36" s="48">
        <v>1</v>
      </c>
      <c r="AN36" s="48">
        <v>1</v>
      </c>
      <c r="AO36" s="48">
        <v>1</v>
      </c>
      <c r="AP36" s="48">
        <v>1</v>
      </c>
      <c r="AQ36" s="48">
        <v>1</v>
      </c>
      <c r="AR36" s="48">
        <v>1</v>
      </c>
      <c r="AS36" s="4"/>
      <c r="AW36" s="49">
        <f t="shared" si="6"/>
        <v>0</v>
      </c>
      <c r="AX36" s="49">
        <f t="shared" si="6"/>
        <v>0</v>
      </c>
      <c r="AY36" s="49">
        <f t="shared" si="6"/>
        <v>0</v>
      </c>
      <c r="AZ36" s="49">
        <f t="shared" si="6"/>
        <v>1.5</v>
      </c>
      <c r="BA36" s="49">
        <f t="shared" si="6"/>
        <v>3</v>
      </c>
      <c r="BB36" s="49">
        <f t="shared" si="6"/>
        <v>2</v>
      </c>
      <c r="BC36" s="49">
        <f t="shared" si="6"/>
        <v>20</v>
      </c>
      <c r="BD36" s="50">
        <f t="shared" si="7"/>
        <v>26.5</v>
      </c>
      <c r="BE36" s="51">
        <f t="shared" si="8"/>
        <v>238500</v>
      </c>
    </row>
    <row r="37" spans="2:57" ht="12.65" customHeight="1" x14ac:dyDescent="0.3">
      <c r="B37" s="64" t="s">
        <v>75</v>
      </c>
      <c r="C37" s="61"/>
      <c r="D37" s="61"/>
      <c r="E37" s="61"/>
      <c r="F37" s="6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T37" s="29"/>
      <c r="AU37" s="4"/>
      <c r="AV37" s="4"/>
      <c r="AW37" s="32"/>
      <c r="AX37" s="32"/>
      <c r="AY37" s="32"/>
      <c r="AZ37" s="32"/>
      <c r="BA37" s="32"/>
      <c r="BB37" s="32"/>
      <c r="BC37" s="32"/>
      <c r="BD37" s="36"/>
    </row>
    <row r="38" spans="2:57" ht="14.15" customHeight="1" x14ac:dyDescent="0.25">
      <c r="B38" s="7" t="s">
        <v>11</v>
      </c>
      <c r="C38" s="9" t="s">
        <v>44</v>
      </c>
      <c r="D38" s="8" t="s">
        <v>76</v>
      </c>
      <c r="E38" s="6" t="s">
        <v>77</v>
      </c>
      <c r="F38" s="8">
        <v>10000</v>
      </c>
      <c r="G38" s="47"/>
      <c r="H38" s="47"/>
      <c r="I38" s="47"/>
      <c r="J38" s="47"/>
      <c r="K38" s="47">
        <v>0.5</v>
      </c>
      <c r="L38" s="47">
        <v>0.5</v>
      </c>
      <c r="M38" s="47">
        <v>0.5</v>
      </c>
      <c r="N38" s="47">
        <v>0.5</v>
      </c>
      <c r="O38" s="47">
        <v>0.5</v>
      </c>
      <c r="P38" s="47">
        <v>0.5</v>
      </c>
      <c r="Q38" s="47">
        <v>1</v>
      </c>
      <c r="R38" s="47">
        <v>1</v>
      </c>
      <c r="S38" s="47">
        <v>1</v>
      </c>
      <c r="T38" s="47">
        <v>1</v>
      </c>
      <c r="U38" s="47">
        <v>1</v>
      </c>
      <c r="V38" s="47">
        <v>1</v>
      </c>
      <c r="W38" s="47">
        <v>1</v>
      </c>
      <c r="X38" s="47">
        <v>1</v>
      </c>
      <c r="Y38" s="47">
        <v>1</v>
      </c>
      <c r="Z38" s="47">
        <v>1</v>
      </c>
      <c r="AA38" s="47">
        <v>1</v>
      </c>
      <c r="AB38" s="48">
        <v>0.5</v>
      </c>
      <c r="AC38" s="48">
        <v>0.5</v>
      </c>
      <c r="AD38" s="48">
        <v>0.5</v>
      </c>
      <c r="AE38" s="48">
        <v>0.5</v>
      </c>
      <c r="AF38" s="48">
        <v>0.5</v>
      </c>
      <c r="AG38" s="48">
        <v>0.5</v>
      </c>
      <c r="AH38" s="48">
        <v>0.5</v>
      </c>
      <c r="AI38" s="48">
        <v>0.5</v>
      </c>
      <c r="AJ38" s="48">
        <v>0.5</v>
      </c>
      <c r="AK38" s="48">
        <v>0.5</v>
      </c>
      <c r="AL38" s="48">
        <v>0.5</v>
      </c>
      <c r="AM38" s="48">
        <v>0.5</v>
      </c>
      <c r="AN38" s="48">
        <v>0.5</v>
      </c>
      <c r="AO38" s="48">
        <v>0.5</v>
      </c>
      <c r="AP38" s="48">
        <v>0.5</v>
      </c>
      <c r="AQ38" s="48">
        <v>0.5</v>
      </c>
      <c r="AR38" s="48">
        <v>0.5</v>
      </c>
      <c r="AS38" s="4"/>
      <c r="AW38" s="49">
        <f t="shared" ref="AW38:BC41" si="9">SUMIF($G$6:$AR$6,AW$7,$G38:$AR38)</f>
        <v>0</v>
      </c>
      <c r="AX38" s="49">
        <f t="shared" si="9"/>
        <v>0</v>
      </c>
      <c r="AY38" s="49">
        <f t="shared" si="9"/>
        <v>3</v>
      </c>
      <c r="AZ38" s="49">
        <f t="shared" si="9"/>
        <v>3</v>
      </c>
      <c r="BA38" s="49">
        <f t="shared" si="9"/>
        <v>3</v>
      </c>
      <c r="BB38" s="49">
        <f t="shared" si="9"/>
        <v>2</v>
      </c>
      <c r="BC38" s="49">
        <f t="shared" si="9"/>
        <v>11.5</v>
      </c>
      <c r="BD38" s="50">
        <f>SUM(AW38:BC38)</f>
        <v>22.5</v>
      </c>
      <c r="BE38" s="51">
        <f>F38*BD38</f>
        <v>225000</v>
      </c>
    </row>
    <row r="39" spans="2:57" ht="14.15" customHeight="1" x14ac:dyDescent="0.25">
      <c r="B39" s="7" t="s">
        <v>17</v>
      </c>
      <c r="C39" s="9" t="s">
        <v>44</v>
      </c>
      <c r="D39" s="8" t="s">
        <v>78</v>
      </c>
      <c r="E39" s="6" t="s">
        <v>79</v>
      </c>
      <c r="F39" s="8">
        <v>11000</v>
      </c>
      <c r="G39" s="47"/>
      <c r="H39" s="47"/>
      <c r="I39" s="47"/>
      <c r="J39" s="47"/>
      <c r="K39" s="47">
        <v>1</v>
      </c>
      <c r="L39" s="47">
        <v>1</v>
      </c>
      <c r="M39" s="47">
        <v>1</v>
      </c>
      <c r="N39" s="47">
        <v>1</v>
      </c>
      <c r="O39" s="47">
        <v>1</v>
      </c>
      <c r="P39" s="47">
        <v>1</v>
      </c>
      <c r="Q39" s="47">
        <v>1</v>
      </c>
      <c r="R39" s="47">
        <v>1</v>
      </c>
      <c r="S39" s="47">
        <v>1</v>
      </c>
      <c r="T39" s="47">
        <v>1</v>
      </c>
      <c r="U39" s="47">
        <v>1</v>
      </c>
      <c r="V39" s="47">
        <v>1</v>
      </c>
      <c r="W39" s="47">
        <v>1</v>
      </c>
      <c r="X39" s="47">
        <v>1</v>
      </c>
      <c r="Y39" s="48">
        <v>0.5</v>
      </c>
      <c r="Z39" s="48">
        <v>0.5</v>
      </c>
      <c r="AA39" s="48">
        <v>0.5</v>
      </c>
      <c r="AB39" s="47"/>
      <c r="AC39" s="47"/>
      <c r="AD39" s="47"/>
      <c r="AE39" s="47"/>
      <c r="AF39" s="47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"/>
      <c r="AW39" s="49">
        <f t="shared" si="9"/>
        <v>0</v>
      </c>
      <c r="AX39" s="49">
        <f t="shared" si="9"/>
        <v>0</v>
      </c>
      <c r="AY39" s="49">
        <f t="shared" si="9"/>
        <v>6</v>
      </c>
      <c r="AZ39" s="49">
        <f t="shared" si="9"/>
        <v>3</v>
      </c>
      <c r="BA39" s="49">
        <f t="shared" si="9"/>
        <v>3</v>
      </c>
      <c r="BB39" s="49">
        <f t="shared" si="9"/>
        <v>2</v>
      </c>
      <c r="BC39" s="49">
        <f t="shared" si="9"/>
        <v>1.5</v>
      </c>
      <c r="BD39" s="50">
        <f>SUM(AW39:BC39)</f>
        <v>15.5</v>
      </c>
      <c r="BE39" s="51">
        <f>F39*BD39</f>
        <v>170500</v>
      </c>
    </row>
    <row r="40" spans="2:57" ht="14.15" customHeight="1" x14ac:dyDescent="0.25">
      <c r="B40" s="7" t="s">
        <v>17</v>
      </c>
      <c r="C40" s="9" t="s">
        <v>44</v>
      </c>
      <c r="D40" s="8" t="s">
        <v>80</v>
      </c>
      <c r="E40" s="6" t="s">
        <v>81</v>
      </c>
      <c r="F40" s="8">
        <v>11000</v>
      </c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>
        <v>1</v>
      </c>
      <c r="U40" s="47">
        <v>1</v>
      </c>
      <c r="V40" s="47">
        <v>1</v>
      </c>
      <c r="W40" s="47">
        <v>1</v>
      </c>
      <c r="X40" s="47">
        <v>1</v>
      </c>
      <c r="Y40" s="47">
        <v>1</v>
      </c>
      <c r="Z40" s="47">
        <v>1</v>
      </c>
      <c r="AA40" s="47">
        <v>1</v>
      </c>
      <c r="AB40" s="48">
        <v>0.5</v>
      </c>
      <c r="AC40" s="48">
        <v>0.5</v>
      </c>
      <c r="AD40" s="48">
        <v>0.5</v>
      </c>
      <c r="AE40" s="48">
        <v>0.5</v>
      </c>
      <c r="AF40" s="48">
        <v>0.5</v>
      </c>
      <c r="AG40" s="48">
        <v>0.5</v>
      </c>
      <c r="AH40" s="48">
        <v>0.5</v>
      </c>
      <c r="AI40" s="48">
        <v>0.5</v>
      </c>
      <c r="AJ40" s="48">
        <v>0.5</v>
      </c>
      <c r="AK40" s="48">
        <v>0.5</v>
      </c>
      <c r="AL40" s="48">
        <v>0.5</v>
      </c>
      <c r="AM40" s="48">
        <v>0.5</v>
      </c>
      <c r="AN40" s="48">
        <v>0.5</v>
      </c>
      <c r="AO40" s="48">
        <v>0.5</v>
      </c>
      <c r="AP40" s="48">
        <v>0.5</v>
      </c>
      <c r="AQ40" s="48">
        <v>0.5</v>
      </c>
      <c r="AR40" s="48">
        <v>0.5</v>
      </c>
      <c r="AS40" s="4"/>
      <c r="AW40" s="49">
        <f t="shared" si="9"/>
        <v>0</v>
      </c>
      <c r="AX40" s="49">
        <f t="shared" si="9"/>
        <v>0</v>
      </c>
      <c r="AY40" s="49">
        <f t="shared" si="9"/>
        <v>0</v>
      </c>
      <c r="AZ40" s="49">
        <f t="shared" si="9"/>
        <v>0</v>
      </c>
      <c r="BA40" s="49">
        <f t="shared" si="9"/>
        <v>3</v>
      </c>
      <c r="BB40" s="49">
        <f t="shared" si="9"/>
        <v>2</v>
      </c>
      <c r="BC40" s="49">
        <f t="shared" si="9"/>
        <v>11.5</v>
      </c>
      <c r="BD40" s="50">
        <f>SUM(AW40:BC40)</f>
        <v>16.5</v>
      </c>
      <c r="BE40" s="51">
        <f>F40*BD40</f>
        <v>181500</v>
      </c>
    </row>
    <row r="41" spans="2:57" ht="14.15" customHeight="1" x14ac:dyDescent="0.25">
      <c r="B41" s="7" t="s">
        <v>16</v>
      </c>
      <c r="C41" s="9" t="s">
        <v>44</v>
      </c>
      <c r="D41" s="8" t="s">
        <v>82</v>
      </c>
      <c r="E41" s="6" t="s">
        <v>83</v>
      </c>
      <c r="F41" s="8">
        <v>11000</v>
      </c>
      <c r="G41" s="47"/>
      <c r="H41" s="47"/>
      <c r="I41" s="47"/>
      <c r="J41" s="47"/>
      <c r="K41" s="47">
        <v>1</v>
      </c>
      <c r="L41" s="47">
        <v>1</v>
      </c>
      <c r="M41" s="47">
        <v>1</v>
      </c>
      <c r="N41" s="47">
        <v>1</v>
      </c>
      <c r="O41" s="47">
        <v>1</v>
      </c>
      <c r="P41" s="47">
        <v>1</v>
      </c>
      <c r="Q41" s="47">
        <v>1</v>
      </c>
      <c r="R41" s="47">
        <v>1</v>
      </c>
      <c r="S41" s="47">
        <v>1</v>
      </c>
      <c r="T41" s="47">
        <v>1</v>
      </c>
      <c r="U41" s="47">
        <v>1</v>
      </c>
      <c r="V41" s="47">
        <v>1</v>
      </c>
      <c r="W41" s="47">
        <v>1</v>
      </c>
      <c r="X41" s="47">
        <v>1</v>
      </c>
      <c r="Y41" s="47">
        <v>1</v>
      </c>
      <c r="Z41" s="47">
        <v>1</v>
      </c>
      <c r="AA41" s="47">
        <v>1</v>
      </c>
      <c r="AB41" s="47">
        <v>1</v>
      </c>
      <c r="AC41" s="47">
        <v>1</v>
      </c>
      <c r="AD41" s="47">
        <v>1</v>
      </c>
      <c r="AE41" s="47">
        <v>1</v>
      </c>
      <c r="AF41" s="47">
        <v>1</v>
      </c>
      <c r="AG41" s="47">
        <v>1</v>
      </c>
      <c r="AH41" s="47">
        <v>1</v>
      </c>
      <c r="AI41" s="47">
        <v>1</v>
      </c>
      <c r="AJ41" s="47">
        <v>1</v>
      </c>
      <c r="AK41" s="47">
        <v>1</v>
      </c>
      <c r="AL41" s="47">
        <v>1</v>
      </c>
      <c r="AM41" s="47">
        <v>1</v>
      </c>
      <c r="AN41" s="47">
        <v>1</v>
      </c>
      <c r="AO41" s="47">
        <v>1</v>
      </c>
      <c r="AP41" s="47">
        <v>1</v>
      </c>
      <c r="AQ41" s="47">
        <v>1</v>
      </c>
      <c r="AR41" s="47">
        <v>1</v>
      </c>
      <c r="AS41" s="4"/>
      <c r="AW41" s="49">
        <f t="shared" si="9"/>
        <v>0</v>
      </c>
      <c r="AX41" s="49">
        <f t="shared" si="9"/>
        <v>0</v>
      </c>
      <c r="AY41" s="49">
        <f t="shared" si="9"/>
        <v>6</v>
      </c>
      <c r="AZ41" s="49">
        <f t="shared" si="9"/>
        <v>3</v>
      </c>
      <c r="BA41" s="49">
        <f t="shared" si="9"/>
        <v>3</v>
      </c>
      <c r="BB41" s="49">
        <f t="shared" si="9"/>
        <v>2</v>
      </c>
      <c r="BC41" s="49">
        <f t="shared" si="9"/>
        <v>20</v>
      </c>
      <c r="BD41" s="50">
        <f>SUM(AW41:BC41)</f>
        <v>34</v>
      </c>
      <c r="BE41" s="51">
        <f>F41*BD41</f>
        <v>374000</v>
      </c>
    </row>
    <row r="42" spans="2:57" ht="14.15" customHeight="1" x14ac:dyDescent="0.25">
      <c r="B42" s="64" t="s">
        <v>84</v>
      </c>
      <c r="C42" s="61"/>
      <c r="D42" s="61"/>
      <c r="E42" s="61"/>
      <c r="F42" s="6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T42" s="4"/>
      <c r="AU42" s="4"/>
      <c r="AV42" s="4"/>
      <c r="AW42" s="32"/>
      <c r="AX42" s="32"/>
      <c r="AY42" s="32"/>
      <c r="AZ42" s="32"/>
      <c r="BA42" s="32"/>
      <c r="BB42" s="32"/>
      <c r="BC42" s="32"/>
      <c r="BD42" s="36"/>
    </row>
    <row r="43" spans="2:57" ht="14.15" customHeight="1" x14ac:dyDescent="0.25">
      <c r="B43" s="7" t="s">
        <v>17</v>
      </c>
      <c r="C43" s="9" t="s">
        <v>44</v>
      </c>
      <c r="D43" s="8" t="s">
        <v>85</v>
      </c>
      <c r="E43" s="6" t="s">
        <v>86</v>
      </c>
      <c r="F43" s="8">
        <v>12000</v>
      </c>
      <c r="G43" s="47"/>
      <c r="H43" s="47">
        <v>0.5</v>
      </c>
      <c r="I43" s="47">
        <v>0.5</v>
      </c>
      <c r="J43" s="47">
        <v>0.5</v>
      </c>
      <c r="K43" s="47">
        <v>1</v>
      </c>
      <c r="L43" s="47">
        <v>1</v>
      </c>
      <c r="M43" s="47">
        <v>1</v>
      </c>
      <c r="N43" s="47">
        <v>1</v>
      </c>
      <c r="O43" s="47">
        <v>1</v>
      </c>
      <c r="P43" s="47">
        <v>1</v>
      </c>
      <c r="Q43" s="47">
        <v>1</v>
      </c>
      <c r="R43" s="47">
        <v>1</v>
      </c>
      <c r="S43" s="47">
        <v>1</v>
      </c>
      <c r="T43" s="47">
        <v>1</v>
      </c>
      <c r="U43" s="47">
        <v>1</v>
      </c>
      <c r="V43" s="47">
        <v>1</v>
      </c>
      <c r="W43" s="47">
        <v>1</v>
      </c>
      <c r="X43" s="47">
        <v>1</v>
      </c>
      <c r="Y43" s="47">
        <v>0.5</v>
      </c>
      <c r="Z43" s="47">
        <v>0.5</v>
      </c>
      <c r="AA43" s="47">
        <v>0.5</v>
      </c>
      <c r="AB43" s="47"/>
      <c r="AC43" s="47"/>
      <c r="AD43" s="47"/>
      <c r="AE43" s="47"/>
      <c r="AF43" s="47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"/>
      <c r="AW43" s="49">
        <f t="shared" ref="AW43:BC46" si="10">SUMIF($G$6:$AR$6,AW$7,$G43:$AR43)</f>
        <v>0</v>
      </c>
      <c r="AX43" s="49">
        <f t="shared" si="10"/>
        <v>1.5</v>
      </c>
      <c r="AY43" s="49">
        <f t="shared" si="10"/>
        <v>6</v>
      </c>
      <c r="AZ43" s="49">
        <f t="shared" si="10"/>
        <v>3</v>
      </c>
      <c r="BA43" s="49">
        <f t="shared" si="10"/>
        <v>3</v>
      </c>
      <c r="BB43" s="49">
        <f t="shared" si="10"/>
        <v>2</v>
      </c>
      <c r="BC43" s="49">
        <f t="shared" si="10"/>
        <v>1.5</v>
      </c>
      <c r="BD43" s="50">
        <f>SUM(AW43:BC43)</f>
        <v>17</v>
      </c>
      <c r="BE43" s="51">
        <f>F43*BD43</f>
        <v>204000</v>
      </c>
    </row>
    <row r="44" spans="2:57" ht="14.15" customHeight="1" x14ac:dyDescent="0.25">
      <c r="B44" s="7" t="s">
        <v>17</v>
      </c>
      <c r="C44" s="9" t="s">
        <v>44</v>
      </c>
      <c r="D44" s="8" t="s">
        <v>87</v>
      </c>
      <c r="E44" s="6" t="s">
        <v>88</v>
      </c>
      <c r="F44" s="8">
        <v>12000</v>
      </c>
      <c r="G44" s="47"/>
      <c r="H44" s="47"/>
      <c r="I44" s="47"/>
      <c r="J44" s="47"/>
      <c r="K44" s="47">
        <v>1</v>
      </c>
      <c r="L44" s="47">
        <v>1</v>
      </c>
      <c r="M44" s="47">
        <v>1</v>
      </c>
      <c r="N44" s="47">
        <v>1</v>
      </c>
      <c r="O44" s="47">
        <v>1</v>
      </c>
      <c r="P44" s="47">
        <v>1</v>
      </c>
      <c r="Q44" s="47">
        <v>1</v>
      </c>
      <c r="R44" s="47">
        <v>1</v>
      </c>
      <c r="S44" s="47">
        <v>1</v>
      </c>
      <c r="T44" s="47">
        <v>1</v>
      </c>
      <c r="U44" s="47">
        <v>1</v>
      </c>
      <c r="V44" s="47">
        <v>1</v>
      </c>
      <c r="W44" s="47">
        <v>1</v>
      </c>
      <c r="X44" s="47">
        <v>1</v>
      </c>
      <c r="Y44" s="47">
        <v>0.5</v>
      </c>
      <c r="Z44" s="47">
        <v>0.5</v>
      </c>
      <c r="AA44" s="47">
        <v>0.5</v>
      </c>
      <c r="AB44" s="47"/>
      <c r="AC44" s="47"/>
      <c r="AD44" s="47"/>
      <c r="AE44" s="47"/>
      <c r="AF44" s="47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"/>
      <c r="AW44" s="49">
        <f t="shared" si="10"/>
        <v>0</v>
      </c>
      <c r="AX44" s="49">
        <f t="shared" si="10"/>
        <v>0</v>
      </c>
      <c r="AY44" s="49">
        <f t="shared" si="10"/>
        <v>6</v>
      </c>
      <c r="AZ44" s="49">
        <f t="shared" si="10"/>
        <v>3</v>
      </c>
      <c r="BA44" s="49">
        <f t="shared" si="10"/>
        <v>3</v>
      </c>
      <c r="BB44" s="49">
        <f t="shared" si="10"/>
        <v>2</v>
      </c>
      <c r="BC44" s="49">
        <f t="shared" si="10"/>
        <v>1.5</v>
      </c>
      <c r="BD44" s="50">
        <f>SUM(AW44:BC44)</f>
        <v>15.5</v>
      </c>
      <c r="BE44" s="51">
        <f>F44*BD44</f>
        <v>186000</v>
      </c>
    </row>
    <row r="45" spans="2:57" ht="14.15" customHeight="1" x14ac:dyDescent="0.25">
      <c r="B45" s="7" t="s">
        <v>19</v>
      </c>
      <c r="C45" s="9" t="s">
        <v>44</v>
      </c>
      <c r="D45" s="8" t="s">
        <v>89</v>
      </c>
      <c r="E45" s="6" t="s">
        <v>90</v>
      </c>
      <c r="F45" s="8">
        <v>9000</v>
      </c>
      <c r="G45" s="47"/>
      <c r="H45" s="47">
        <v>1</v>
      </c>
      <c r="I45" s="47">
        <v>1</v>
      </c>
      <c r="J45" s="47">
        <v>1</v>
      </c>
      <c r="K45" s="47">
        <v>1</v>
      </c>
      <c r="L45" s="47">
        <v>1</v>
      </c>
      <c r="M45" s="47">
        <v>1</v>
      </c>
      <c r="N45" s="47">
        <v>1</v>
      </c>
      <c r="O45" s="47">
        <v>1</v>
      </c>
      <c r="P45" s="47">
        <v>1</v>
      </c>
      <c r="Q45" s="47">
        <v>1</v>
      </c>
      <c r="R45" s="47">
        <v>1</v>
      </c>
      <c r="S45" s="47">
        <v>1</v>
      </c>
      <c r="T45" s="47">
        <v>1</v>
      </c>
      <c r="U45" s="47">
        <v>1</v>
      </c>
      <c r="V45" s="47">
        <v>1</v>
      </c>
      <c r="W45" s="47">
        <v>1</v>
      </c>
      <c r="X45" s="47">
        <v>1</v>
      </c>
      <c r="Y45" s="47">
        <v>0.5</v>
      </c>
      <c r="Z45" s="47">
        <v>0.5</v>
      </c>
      <c r="AA45" s="47">
        <v>0.5</v>
      </c>
      <c r="AB45" s="47"/>
      <c r="AC45" s="47"/>
      <c r="AD45" s="47"/>
      <c r="AE45" s="47"/>
      <c r="AF45" s="47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"/>
      <c r="AW45" s="49">
        <f t="shared" si="10"/>
        <v>0</v>
      </c>
      <c r="AX45" s="49">
        <f t="shared" si="10"/>
        <v>3</v>
      </c>
      <c r="AY45" s="49">
        <f t="shared" si="10"/>
        <v>6</v>
      </c>
      <c r="AZ45" s="49">
        <f t="shared" si="10"/>
        <v>3</v>
      </c>
      <c r="BA45" s="49">
        <f t="shared" si="10"/>
        <v>3</v>
      </c>
      <c r="BB45" s="49">
        <f t="shared" si="10"/>
        <v>2</v>
      </c>
      <c r="BC45" s="49">
        <f t="shared" si="10"/>
        <v>1.5</v>
      </c>
      <c r="BD45" s="50">
        <f>SUM(AW45:BC45)</f>
        <v>18.5</v>
      </c>
      <c r="BE45" s="51">
        <f>F45*BD45</f>
        <v>166500</v>
      </c>
    </row>
    <row r="46" spans="2:57" ht="14.15" customHeight="1" x14ac:dyDescent="0.25">
      <c r="B46" s="7" t="s">
        <v>16</v>
      </c>
      <c r="C46" s="9" t="s">
        <v>44</v>
      </c>
      <c r="D46" s="8" t="s">
        <v>91</v>
      </c>
      <c r="E46" s="6" t="s">
        <v>92</v>
      </c>
      <c r="F46" s="8">
        <v>8000</v>
      </c>
      <c r="G46" s="47"/>
      <c r="H46" s="47"/>
      <c r="I46" s="47"/>
      <c r="J46" s="47"/>
      <c r="K46" s="47">
        <v>1</v>
      </c>
      <c r="L46" s="47">
        <v>1</v>
      </c>
      <c r="M46" s="47">
        <v>1</v>
      </c>
      <c r="N46" s="47">
        <v>1</v>
      </c>
      <c r="O46" s="47">
        <v>1</v>
      </c>
      <c r="P46" s="47">
        <v>1</v>
      </c>
      <c r="Q46" s="47">
        <v>1</v>
      </c>
      <c r="R46" s="47">
        <v>1</v>
      </c>
      <c r="S46" s="47">
        <v>1</v>
      </c>
      <c r="T46" s="47">
        <v>1</v>
      </c>
      <c r="U46" s="47">
        <v>1</v>
      </c>
      <c r="V46" s="47">
        <v>1</v>
      </c>
      <c r="W46" s="47">
        <v>1</v>
      </c>
      <c r="X46" s="47">
        <v>1</v>
      </c>
      <c r="Y46" s="47">
        <v>1</v>
      </c>
      <c r="Z46" s="47">
        <v>1</v>
      </c>
      <c r="AA46" s="47">
        <v>1</v>
      </c>
      <c r="AB46" s="47">
        <v>1</v>
      </c>
      <c r="AC46" s="47">
        <v>1</v>
      </c>
      <c r="AD46" s="47">
        <v>1</v>
      </c>
      <c r="AE46" s="47">
        <v>1</v>
      </c>
      <c r="AF46" s="47">
        <v>1</v>
      </c>
      <c r="AG46" s="47">
        <v>1</v>
      </c>
      <c r="AH46" s="47">
        <v>1</v>
      </c>
      <c r="AI46" s="47">
        <v>1</v>
      </c>
      <c r="AJ46" s="47">
        <v>1</v>
      </c>
      <c r="AK46" s="47">
        <v>1</v>
      </c>
      <c r="AL46" s="47">
        <v>1</v>
      </c>
      <c r="AM46" s="47">
        <v>1</v>
      </c>
      <c r="AN46" s="47">
        <v>1</v>
      </c>
      <c r="AO46" s="47">
        <v>1</v>
      </c>
      <c r="AP46" s="47">
        <v>1</v>
      </c>
      <c r="AQ46" s="47">
        <v>1</v>
      </c>
      <c r="AR46" s="47">
        <v>1</v>
      </c>
      <c r="AS46" s="4"/>
      <c r="AW46" s="49">
        <f t="shared" si="10"/>
        <v>0</v>
      </c>
      <c r="AX46" s="49">
        <f t="shared" si="10"/>
        <v>0</v>
      </c>
      <c r="AY46" s="49">
        <f t="shared" si="10"/>
        <v>6</v>
      </c>
      <c r="AZ46" s="49">
        <f t="shared" si="10"/>
        <v>3</v>
      </c>
      <c r="BA46" s="49">
        <f t="shared" si="10"/>
        <v>3</v>
      </c>
      <c r="BB46" s="49">
        <f t="shared" si="10"/>
        <v>2</v>
      </c>
      <c r="BC46" s="49">
        <f t="shared" si="10"/>
        <v>20</v>
      </c>
      <c r="BD46" s="50">
        <f>SUM(AW46:BC46)</f>
        <v>34</v>
      </c>
      <c r="BE46" s="51">
        <f>F46*BD46</f>
        <v>272000</v>
      </c>
    </row>
    <row r="47" spans="2:57" ht="12.65" customHeight="1" x14ac:dyDescent="0.25">
      <c r="B47" s="64" t="s">
        <v>93</v>
      </c>
      <c r="C47" s="61"/>
      <c r="D47" s="61"/>
      <c r="E47" s="61"/>
      <c r="F47" s="6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4"/>
      <c r="AT47" s="4"/>
      <c r="AU47" s="4"/>
      <c r="AV47" s="4"/>
      <c r="AW47" s="32"/>
      <c r="AX47" s="32"/>
      <c r="AY47" s="32"/>
      <c r="AZ47" s="32"/>
      <c r="BA47" s="32"/>
      <c r="BB47" s="32"/>
      <c r="BC47" s="32"/>
      <c r="BD47" s="36"/>
    </row>
    <row r="48" spans="2:57" ht="12.65" customHeight="1" x14ac:dyDescent="0.25">
      <c r="B48" s="7" t="s">
        <v>17</v>
      </c>
      <c r="C48" s="9" t="s">
        <v>44</v>
      </c>
      <c r="D48" s="8" t="s">
        <v>94</v>
      </c>
      <c r="E48" s="6" t="s">
        <v>95</v>
      </c>
      <c r="F48" s="8">
        <v>13000</v>
      </c>
      <c r="G48" s="47"/>
      <c r="H48" s="47">
        <v>0.5</v>
      </c>
      <c r="I48" s="47">
        <v>0.5</v>
      </c>
      <c r="J48" s="47">
        <v>0.5</v>
      </c>
      <c r="K48" s="47">
        <v>1</v>
      </c>
      <c r="L48" s="47">
        <v>1</v>
      </c>
      <c r="M48" s="47">
        <v>1</v>
      </c>
      <c r="N48" s="47">
        <v>1</v>
      </c>
      <c r="O48" s="47">
        <v>1</v>
      </c>
      <c r="P48" s="47">
        <v>1</v>
      </c>
      <c r="Q48" s="47">
        <v>1</v>
      </c>
      <c r="R48" s="47">
        <v>1</v>
      </c>
      <c r="S48" s="47">
        <v>1</v>
      </c>
      <c r="T48" s="47">
        <v>1</v>
      </c>
      <c r="U48" s="47">
        <v>1</v>
      </c>
      <c r="V48" s="47">
        <v>1</v>
      </c>
      <c r="W48" s="47">
        <v>1</v>
      </c>
      <c r="X48" s="47">
        <v>1</v>
      </c>
      <c r="Y48" s="47">
        <v>1</v>
      </c>
      <c r="Z48" s="47">
        <v>1</v>
      </c>
      <c r="AA48" s="47">
        <v>1</v>
      </c>
      <c r="AB48" s="47">
        <v>1</v>
      </c>
      <c r="AC48" s="47">
        <v>1</v>
      </c>
      <c r="AD48" s="47">
        <v>1</v>
      </c>
      <c r="AE48" s="47">
        <v>1</v>
      </c>
      <c r="AF48" s="47">
        <v>1</v>
      </c>
      <c r="AG48" s="48">
        <v>1</v>
      </c>
      <c r="AH48" s="48">
        <v>1</v>
      </c>
      <c r="AI48" s="48">
        <v>1</v>
      </c>
      <c r="AJ48" s="48">
        <v>1</v>
      </c>
      <c r="AK48" s="47">
        <v>1</v>
      </c>
      <c r="AL48" s="47">
        <v>1</v>
      </c>
      <c r="AM48" s="47">
        <v>1</v>
      </c>
      <c r="AN48" s="47">
        <v>1</v>
      </c>
      <c r="AO48" s="48">
        <v>1</v>
      </c>
      <c r="AP48" s="48">
        <v>1</v>
      </c>
      <c r="AQ48" s="48">
        <v>1</v>
      </c>
      <c r="AR48" s="48">
        <v>1</v>
      </c>
      <c r="AS48" s="4"/>
      <c r="AW48" s="49">
        <f t="shared" ref="AW48:BC52" si="11">SUMIF($G$6:$AR$6,AW$7,$G48:$AR48)</f>
        <v>0</v>
      </c>
      <c r="AX48" s="49">
        <f t="shared" si="11"/>
        <v>1.5</v>
      </c>
      <c r="AY48" s="49">
        <f t="shared" si="11"/>
        <v>6</v>
      </c>
      <c r="AZ48" s="49">
        <f t="shared" si="11"/>
        <v>3</v>
      </c>
      <c r="BA48" s="49">
        <f t="shared" si="11"/>
        <v>3</v>
      </c>
      <c r="BB48" s="49">
        <f t="shared" si="11"/>
        <v>2</v>
      </c>
      <c r="BC48" s="49">
        <f t="shared" si="11"/>
        <v>20</v>
      </c>
      <c r="BD48" s="50">
        <f>SUM(AW48:BC48)</f>
        <v>35.5</v>
      </c>
      <c r="BE48" s="51">
        <f>F48*BD48</f>
        <v>461500</v>
      </c>
    </row>
    <row r="49" spans="2:57" x14ac:dyDescent="0.25">
      <c r="B49" s="7" t="s">
        <v>17</v>
      </c>
      <c r="C49" s="9" t="s">
        <v>44</v>
      </c>
      <c r="D49" s="8" t="s">
        <v>96</v>
      </c>
      <c r="E49" s="6" t="s">
        <v>97</v>
      </c>
      <c r="F49" s="8">
        <v>11000</v>
      </c>
      <c r="G49" s="47"/>
      <c r="H49" s="47"/>
      <c r="I49" s="47"/>
      <c r="J49" s="47"/>
      <c r="K49" s="47">
        <v>1</v>
      </c>
      <c r="L49" s="47">
        <v>1</v>
      </c>
      <c r="M49" s="47">
        <v>1</v>
      </c>
      <c r="N49" s="47">
        <v>1</v>
      </c>
      <c r="O49" s="47">
        <v>1</v>
      </c>
      <c r="P49" s="47">
        <v>1</v>
      </c>
      <c r="Q49" s="47">
        <v>1</v>
      </c>
      <c r="R49" s="47">
        <v>1</v>
      </c>
      <c r="S49" s="47">
        <v>1</v>
      </c>
      <c r="T49" s="47">
        <v>1</v>
      </c>
      <c r="U49" s="47">
        <v>1</v>
      </c>
      <c r="V49" s="47">
        <v>1</v>
      </c>
      <c r="W49" s="47">
        <v>1</v>
      </c>
      <c r="X49" s="47">
        <v>1</v>
      </c>
      <c r="Y49" s="47">
        <v>0.5</v>
      </c>
      <c r="Z49" s="47">
        <v>0.5</v>
      </c>
      <c r="AA49" s="47">
        <v>0.5</v>
      </c>
      <c r="AB49" s="47"/>
      <c r="AC49" s="47"/>
      <c r="AD49" s="47"/>
      <c r="AE49" s="47"/>
      <c r="AF49" s="47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"/>
      <c r="AW49" s="49">
        <f t="shared" si="11"/>
        <v>0</v>
      </c>
      <c r="AX49" s="49">
        <f t="shared" si="11"/>
        <v>0</v>
      </c>
      <c r="AY49" s="49">
        <f t="shared" si="11"/>
        <v>6</v>
      </c>
      <c r="AZ49" s="49">
        <f t="shared" si="11"/>
        <v>3</v>
      </c>
      <c r="BA49" s="49">
        <f t="shared" si="11"/>
        <v>3</v>
      </c>
      <c r="BB49" s="49">
        <f t="shared" si="11"/>
        <v>2</v>
      </c>
      <c r="BC49" s="49">
        <f t="shared" si="11"/>
        <v>1.5</v>
      </c>
      <c r="BD49" s="50">
        <f>SUM(AW49:BC49)</f>
        <v>15.5</v>
      </c>
      <c r="BE49" s="51">
        <f>F49*BD49</f>
        <v>170500</v>
      </c>
    </row>
    <row r="50" spans="2:57" x14ac:dyDescent="0.25">
      <c r="B50" s="7" t="s">
        <v>17</v>
      </c>
      <c r="C50" s="9" t="s">
        <v>44</v>
      </c>
      <c r="D50" s="8" t="s">
        <v>98</v>
      </c>
      <c r="E50" s="6" t="s">
        <v>99</v>
      </c>
      <c r="F50" s="8">
        <v>10000</v>
      </c>
      <c r="G50" s="47"/>
      <c r="H50" s="47"/>
      <c r="I50" s="47"/>
      <c r="J50" s="47"/>
      <c r="K50" s="47">
        <v>1</v>
      </c>
      <c r="L50" s="47">
        <v>1</v>
      </c>
      <c r="M50" s="47">
        <v>1</v>
      </c>
      <c r="N50" s="47">
        <v>1</v>
      </c>
      <c r="O50" s="47">
        <v>1</v>
      </c>
      <c r="P50" s="47">
        <v>1</v>
      </c>
      <c r="Q50" s="47">
        <v>1</v>
      </c>
      <c r="R50" s="47">
        <v>1</v>
      </c>
      <c r="S50" s="47">
        <v>1</v>
      </c>
      <c r="T50" s="47">
        <v>1</v>
      </c>
      <c r="U50" s="47">
        <v>1</v>
      </c>
      <c r="V50" s="47">
        <v>1</v>
      </c>
      <c r="W50" s="47">
        <v>1</v>
      </c>
      <c r="X50" s="47">
        <v>1</v>
      </c>
      <c r="Y50" s="47">
        <v>0.5</v>
      </c>
      <c r="Z50" s="47">
        <v>0.5</v>
      </c>
      <c r="AA50" s="47">
        <v>0.5</v>
      </c>
      <c r="AB50" s="47"/>
      <c r="AC50" s="47"/>
      <c r="AD50" s="47"/>
      <c r="AE50" s="47"/>
      <c r="AF50" s="47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"/>
      <c r="AW50" s="49">
        <f t="shared" si="11"/>
        <v>0</v>
      </c>
      <c r="AX50" s="49">
        <f t="shared" si="11"/>
        <v>0</v>
      </c>
      <c r="AY50" s="49">
        <f t="shared" si="11"/>
        <v>6</v>
      </c>
      <c r="AZ50" s="49">
        <f t="shared" si="11"/>
        <v>3</v>
      </c>
      <c r="BA50" s="49">
        <f t="shared" si="11"/>
        <v>3</v>
      </c>
      <c r="BB50" s="49">
        <f t="shared" si="11"/>
        <v>2</v>
      </c>
      <c r="BC50" s="49">
        <f t="shared" si="11"/>
        <v>1.5</v>
      </c>
      <c r="BD50" s="50">
        <f>SUM(AW50:BC50)</f>
        <v>15.5</v>
      </c>
      <c r="BE50" s="51">
        <f>F50*BD50</f>
        <v>155000</v>
      </c>
    </row>
    <row r="51" spans="2:57" x14ac:dyDescent="0.25">
      <c r="B51" s="7" t="s">
        <v>21</v>
      </c>
      <c r="C51" s="9" t="s">
        <v>44</v>
      </c>
      <c r="D51" s="8" t="s">
        <v>100</v>
      </c>
      <c r="E51" s="6" t="s">
        <v>101</v>
      </c>
      <c r="F51" s="8">
        <v>8000</v>
      </c>
      <c r="G51" s="47"/>
      <c r="H51" s="47"/>
      <c r="I51" s="47"/>
      <c r="J51" s="47"/>
      <c r="K51" s="47">
        <v>1</v>
      </c>
      <c r="L51" s="47">
        <v>1</v>
      </c>
      <c r="M51" s="47">
        <v>1</v>
      </c>
      <c r="N51" s="47">
        <v>1</v>
      </c>
      <c r="O51" s="47">
        <v>1</v>
      </c>
      <c r="P51" s="47">
        <v>1</v>
      </c>
      <c r="Q51" s="47">
        <v>1</v>
      </c>
      <c r="R51" s="47">
        <v>1</v>
      </c>
      <c r="S51" s="47">
        <v>1</v>
      </c>
      <c r="T51" s="47">
        <v>1</v>
      </c>
      <c r="U51" s="47">
        <v>1</v>
      </c>
      <c r="V51" s="47">
        <v>1</v>
      </c>
      <c r="W51" s="47">
        <v>1</v>
      </c>
      <c r="X51" s="47">
        <v>1</v>
      </c>
      <c r="Y51" s="47">
        <v>0.5</v>
      </c>
      <c r="Z51" s="47">
        <v>0.5</v>
      </c>
      <c r="AA51" s="47">
        <v>0.5</v>
      </c>
      <c r="AB51" s="47"/>
      <c r="AC51" s="47"/>
      <c r="AD51" s="47"/>
      <c r="AE51" s="47"/>
      <c r="AF51" s="47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"/>
      <c r="AW51" s="49">
        <f t="shared" si="11"/>
        <v>0</v>
      </c>
      <c r="AX51" s="49">
        <f t="shared" si="11"/>
        <v>0</v>
      </c>
      <c r="AY51" s="49">
        <f t="shared" si="11"/>
        <v>6</v>
      </c>
      <c r="AZ51" s="49">
        <f t="shared" si="11"/>
        <v>3</v>
      </c>
      <c r="BA51" s="49">
        <f t="shared" si="11"/>
        <v>3</v>
      </c>
      <c r="BB51" s="49">
        <f t="shared" si="11"/>
        <v>2</v>
      </c>
      <c r="BC51" s="49">
        <f t="shared" si="11"/>
        <v>1.5</v>
      </c>
      <c r="BD51" s="50">
        <f>SUM(AW51:BC51)</f>
        <v>15.5</v>
      </c>
      <c r="BE51" s="51">
        <f>F51*BD51</f>
        <v>124000</v>
      </c>
    </row>
    <row r="52" spans="2:57" x14ac:dyDescent="0.25">
      <c r="B52" s="7" t="s">
        <v>17</v>
      </c>
      <c r="C52" s="9" t="s">
        <v>44</v>
      </c>
      <c r="D52" s="8" t="s">
        <v>102</v>
      </c>
      <c r="E52" s="6" t="s">
        <v>103</v>
      </c>
      <c r="F52" s="8">
        <v>12000</v>
      </c>
      <c r="G52" s="47"/>
      <c r="H52" s="47"/>
      <c r="I52" s="47"/>
      <c r="J52" s="47"/>
      <c r="K52" s="47">
        <v>0.5</v>
      </c>
      <c r="L52" s="47">
        <v>0.5</v>
      </c>
      <c r="M52" s="47">
        <v>0.5</v>
      </c>
      <c r="N52" s="47">
        <v>0.5</v>
      </c>
      <c r="O52" s="47">
        <v>0.5</v>
      </c>
      <c r="P52" s="47">
        <v>0.5</v>
      </c>
      <c r="Q52" s="47">
        <v>0.5</v>
      </c>
      <c r="R52" s="47">
        <v>0.5</v>
      </c>
      <c r="S52" s="47">
        <v>0.5</v>
      </c>
      <c r="T52" s="47">
        <v>1</v>
      </c>
      <c r="U52" s="47">
        <v>1</v>
      </c>
      <c r="V52" s="47">
        <v>1</v>
      </c>
      <c r="W52" s="47">
        <v>1</v>
      </c>
      <c r="X52" s="47">
        <v>1</v>
      </c>
      <c r="Y52" s="47">
        <v>1</v>
      </c>
      <c r="Z52" s="47">
        <v>1</v>
      </c>
      <c r="AA52" s="47">
        <v>1</v>
      </c>
      <c r="AB52" s="47">
        <v>0.5</v>
      </c>
      <c r="AC52" s="47">
        <v>0.5</v>
      </c>
      <c r="AD52" s="47">
        <v>0.5</v>
      </c>
      <c r="AE52" s="47">
        <v>0.5</v>
      </c>
      <c r="AF52" s="47">
        <v>0.5</v>
      </c>
      <c r="AG52" s="48">
        <v>0.5</v>
      </c>
      <c r="AH52" s="48">
        <v>0.5</v>
      </c>
      <c r="AI52" s="48">
        <v>0.5</v>
      </c>
      <c r="AJ52" s="48">
        <v>0.5</v>
      </c>
      <c r="AK52" s="48">
        <v>0.5</v>
      </c>
      <c r="AL52" s="48">
        <v>0.5</v>
      </c>
      <c r="AM52" s="48">
        <v>0.5</v>
      </c>
      <c r="AN52" s="48">
        <v>0.5</v>
      </c>
      <c r="AO52" s="48">
        <v>0.5</v>
      </c>
      <c r="AP52" s="48">
        <v>0.5</v>
      </c>
      <c r="AQ52" s="48">
        <v>0.5</v>
      </c>
      <c r="AR52" s="48">
        <v>0.5</v>
      </c>
      <c r="AS52" s="4"/>
      <c r="AW52" s="49">
        <f t="shared" si="11"/>
        <v>0</v>
      </c>
      <c r="AX52" s="49">
        <f t="shared" si="11"/>
        <v>0</v>
      </c>
      <c r="AY52" s="49">
        <f t="shared" si="11"/>
        <v>3</v>
      </c>
      <c r="AZ52" s="49">
        <f t="shared" si="11"/>
        <v>1.5</v>
      </c>
      <c r="BA52" s="49">
        <f t="shared" si="11"/>
        <v>3</v>
      </c>
      <c r="BB52" s="49">
        <f t="shared" si="11"/>
        <v>2</v>
      </c>
      <c r="BC52" s="49">
        <f t="shared" si="11"/>
        <v>11.5</v>
      </c>
      <c r="BD52" s="50">
        <f>SUM(AW52:BC52)</f>
        <v>21</v>
      </c>
      <c r="BE52" s="51">
        <f>F52*BD52</f>
        <v>252000</v>
      </c>
    </row>
    <row r="53" spans="2:57" ht="15" customHeight="1" x14ac:dyDescent="0.25">
      <c r="B53" s="64" t="s">
        <v>104</v>
      </c>
      <c r="C53" s="61"/>
      <c r="D53" s="61"/>
      <c r="E53" s="61"/>
      <c r="F53" s="6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4"/>
      <c r="AT53" s="4"/>
      <c r="AU53" s="4"/>
      <c r="AV53" s="4"/>
      <c r="AW53" s="32"/>
      <c r="AX53" s="32"/>
      <c r="AY53" s="32"/>
      <c r="AZ53" s="32"/>
      <c r="BA53" s="32"/>
      <c r="BB53" s="32"/>
      <c r="BC53" s="32"/>
      <c r="BD53" s="36"/>
    </row>
    <row r="54" spans="2:57" x14ac:dyDescent="0.25">
      <c r="B54" s="7" t="s">
        <v>11</v>
      </c>
      <c r="C54" s="9" t="s">
        <v>44</v>
      </c>
      <c r="D54" s="8" t="s">
        <v>105</v>
      </c>
      <c r="E54" s="6" t="s">
        <v>106</v>
      </c>
      <c r="F54" s="8">
        <v>11000</v>
      </c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>
        <v>0.5</v>
      </c>
      <c r="U54" s="47">
        <v>0.5</v>
      </c>
      <c r="V54" s="47">
        <v>0.5</v>
      </c>
      <c r="W54" s="47">
        <v>1</v>
      </c>
      <c r="X54" s="47">
        <v>1</v>
      </c>
      <c r="Y54" s="47">
        <v>1</v>
      </c>
      <c r="Z54" s="47">
        <v>1</v>
      </c>
      <c r="AA54" s="47">
        <v>1</v>
      </c>
      <c r="AB54" s="47">
        <v>1</v>
      </c>
      <c r="AC54" s="47">
        <v>1</v>
      </c>
      <c r="AD54" s="47">
        <v>1</v>
      </c>
      <c r="AE54" s="47">
        <v>1</v>
      </c>
      <c r="AF54" s="47">
        <v>1</v>
      </c>
      <c r="AG54" s="48">
        <v>1</v>
      </c>
      <c r="AH54" s="48">
        <v>1</v>
      </c>
      <c r="AI54" s="48">
        <v>1</v>
      </c>
      <c r="AJ54" s="48">
        <v>1</v>
      </c>
      <c r="AK54" s="48">
        <v>1</v>
      </c>
      <c r="AL54" s="48">
        <v>1</v>
      </c>
      <c r="AM54" s="48">
        <v>1</v>
      </c>
      <c r="AN54" s="48">
        <v>1</v>
      </c>
      <c r="AO54" s="48">
        <v>1</v>
      </c>
      <c r="AP54" s="48">
        <v>1</v>
      </c>
      <c r="AQ54" s="48">
        <v>1</v>
      </c>
      <c r="AR54" s="48">
        <v>1</v>
      </c>
      <c r="AS54" s="4"/>
      <c r="AW54" s="49">
        <f t="shared" ref="AW54:BC59" si="12">SUMIF($G$6:$AR$6,AW$7,$G54:$AR54)</f>
        <v>0</v>
      </c>
      <c r="AX54" s="49">
        <f t="shared" si="12"/>
        <v>0</v>
      </c>
      <c r="AY54" s="49">
        <f t="shared" si="12"/>
        <v>0</v>
      </c>
      <c r="AZ54" s="49">
        <f t="shared" si="12"/>
        <v>0</v>
      </c>
      <c r="BA54" s="49">
        <f t="shared" si="12"/>
        <v>1.5</v>
      </c>
      <c r="BB54" s="49">
        <f t="shared" si="12"/>
        <v>2</v>
      </c>
      <c r="BC54" s="49">
        <f t="shared" si="12"/>
        <v>20</v>
      </c>
      <c r="BD54" s="50">
        <f t="shared" ref="BD54:BD59" si="13">SUM(AW54:BC54)</f>
        <v>23.5</v>
      </c>
      <c r="BE54" s="51">
        <f t="shared" ref="BE54:BE59" si="14">F54*BD54</f>
        <v>258500</v>
      </c>
    </row>
    <row r="55" spans="2:57" x14ac:dyDescent="0.25">
      <c r="B55" s="7" t="s">
        <v>19</v>
      </c>
      <c r="C55" s="9" t="s">
        <v>44</v>
      </c>
      <c r="D55" s="8" t="s">
        <v>107</v>
      </c>
      <c r="E55" s="6" t="s">
        <v>108</v>
      </c>
      <c r="F55" s="8">
        <v>8000</v>
      </c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>
        <v>0.5</v>
      </c>
      <c r="U55" s="47">
        <v>0.5</v>
      </c>
      <c r="V55" s="47">
        <v>0.5</v>
      </c>
      <c r="W55" s="47">
        <v>1</v>
      </c>
      <c r="X55" s="47">
        <v>1</v>
      </c>
      <c r="Y55" s="47">
        <v>1</v>
      </c>
      <c r="Z55" s="47">
        <v>1</v>
      </c>
      <c r="AA55" s="47">
        <v>1</v>
      </c>
      <c r="AB55" s="47">
        <v>1</v>
      </c>
      <c r="AC55" s="47">
        <v>1</v>
      </c>
      <c r="AD55" s="47">
        <v>1</v>
      </c>
      <c r="AE55" s="47">
        <v>1</v>
      </c>
      <c r="AF55" s="47">
        <v>1</v>
      </c>
      <c r="AG55" s="48">
        <v>1</v>
      </c>
      <c r="AH55" s="48">
        <v>1</v>
      </c>
      <c r="AI55" s="48">
        <v>1</v>
      </c>
      <c r="AJ55" s="48">
        <v>1</v>
      </c>
      <c r="AK55" s="47">
        <v>1</v>
      </c>
      <c r="AL55" s="47">
        <v>1</v>
      </c>
      <c r="AM55" s="47">
        <v>1</v>
      </c>
      <c r="AN55" s="47">
        <v>1</v>
      </c>
      <c r="AO55" s="48">
        <v>1</v>
      </c>
      <c r="AP55" s="48">
        <v>1</v>
      </c>
      <c r="AQ55" s="48">
        <v>1</v>
      </c>
      <c r="AR55" s="48">
        <v>1</v>
      </c>
      <c r="AS55" s="4"/>
      <c r="AW55" s="49">
        <f t="shared" si="12"/>
        <v>0</v>
      </c>
      <c r="AX55" s="49">
        <f t="shared" si="12"/>
        <v>0</v>
      </c>
      <c r="AY55" s="49">
        <f t="shared" si="12"/>
        <v>0</v>
      </c>
      <c r="AZ55" s="49">
        <f t="shared" si="12"/>
        <v>0</v>
      </c>
      <c r="BA55" s="49">
        <f t="shared" si="12"/>
        <v>1.5</v>
      </c>
      <c r="BB55" s="49">
        <f t="shared" si="12"/>
        <v>2</v>
      </c>
      <c r="BC55" s="49">
        <f t="shared" si="12"/>
        <v>20</v>
      </c>
      <c r="BD55" s="50">
        <f t="shared" si="13"/>
        <v>23.5</v>
      </c>
      <c r="BE55" s="51">
        <f t="shared" si="14"/>
        <v>188000</v>
      </c>
    </row>
    <row r="56" spans="2:57" x14ac:dyDescent="0.25">
      <c r="B56" s="7" t="s">
        <v>19</v>
      </c>
      <c r="C56" s="9" t="s">
        <v>44</v>
      </c>
      <c r="D56" s="8" t="s">
        <v>109</v>
      </c>
      <c r="E56" s="6" t="s">
        <v>110</v>
      </c>
      <c r="F56" s="8">
        <v>9000</v>
      </c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>
        <v>0.5</v>
      </c>
      <c r="U56" s="47">
        <v>0.5</v>
      </c>
      <c r="V56" s="47">
        <v>0.5</v>
      </c>
      <c r="W56" s="47">
        <v>1</v>
      </c>
      <c r="X56" s="47">
        <v>1</v>
      </c>
      <c r="Y56" s="47">
        <v>1</v>
      </c>
      <c r="Z56" s="47">
        <v>1</v>
      </c>
      <c r="AA56" s="47">
        <v>1</v>
      </c>
      <c r="AB56" s="47">
        <v>1</v>
      </c>
      <c r="AC56" s="47">
        <v>1</v>
      </c>
      <c r="AD56" s="47">
        <v>1</v>
      </c>
      <c r="AE56" s="47">
        <v>1</v>
      </c>
      <c r="AF56" s="47">
        <v>1</v>
      </c>
      <c r="AG56" s="47">
        <v>1</v>
      </c>
      <c r="AH56" s="47">
        <v>1</v>
      </c>
      <c r="AI56" s="47">
        <v>1</v>
      </c>
      <c r="AJ56" s="47">
        <v>1</v>
      </c>
      <c r="AK56" s="47">
        <v>1</v>
      </c>
      <c r="AL56" s="47">
        <v>1</v>
      </c>
      <c r="AM56" s="47">
        <v>1</v>
      </c>
      <c r="AN56" s="47">
        <v>1</v>
      </c>
      <c r="AO56" s="47">
        <v>1</v>
      </c>
      <c r="AP56" s="47">
        <v>1</v>
      </c>
      <c r="AQ56" s="47">
        <v>1</v>
      </c>
      <c r="AR56" s="47">
        <v>1</v>
      </c>
      <c r="AS56" s="4"/>
      <c r="AW56" s="49">
        <f t="shared" si="12"/>
        <v>0</v>
      </c>
      <c r="AX56" s="49">
        <f t="shared" si="12"/>
        <v>0</v>
      </c>
      <c r="AY56" s="49">
        <f t="shared" si="12"/>
        <v>0</v>
      </c>
      <c r="AZ56" s="49">
        <f t="shared" si="12"/>
        <v>0</v>
      </c>
      <c r="BA56" s="49">
        <f t="shared" si="12"/>
        <v>1.5</v>
      </c>
      <c r="BB56" s="49">
        <f t="shared" si="12"/>
        <v>2</v>
      </c>
      <c r="BC56" s="49">
        <f t="shared" si="12"/>
        <v>20</v>
      </c>
      <c r="BD56" s="50">
        <f t="shared" si="13"/>
        <v>23.5</v>
      </c>
      <c r="BE56" s="51">
        <f t="shared" si="14"/>
        <v>211500</v>
      </c>
    </row>
    <row r="57" spans="2:57" x14ac:dyDescent="0.25">
      <c r="B57" s="7" t="s">
        <v>17</v>
      </c>
      <c r="C57" s="9" t="s">
        <v>44</v>
      </c>
      <c r="D57" s="8" t="s">
        <v>111</v>
      </c>
      <c r="E57" s="6" t="s">
        <v>112</v>
      </c>
      <c r="F57" s="8">
        <v>10000</v>
      </c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>
        <v>0.5</v>
      </c>
      <c r="U57" s="47">
        <v>0.5</v>
      </c>
      <c r="V57" s="47">
        <v>0.5</v>
      </c>
      <c r="W57" s="47">
        <v>1</v>
      </c>
      <c r="X57" s="47">
        <v>1</v>
      </c>
      <c r="Y57" s="47">
        <v>1</v>
      </c>
      <c r="Z57" s="47">
        <v>1</v>
      </c>
      <c r="AA57" s="47">
        <v>1</v>
      </c>
      <c r="AB57" s="47">
        <v>1</v>
      </c>
      <c r="AC57" s="47">
        <v>1</v>
      </c>
      <c r="AD57" s="47">
        <v>1</v>
      </c>
      <c r="AE57" s="47">
        <v>1</v>
      </c>
      <c r="AF57" s="47">
        <v>1</v>
      </c>
      <c r="AG57" s="48">
        <v>1</v>
      </c>
      <c r="AH57" s="48">
        <v>1</v>
      </c>
      <c r="AI57" s="48">
        <v>1</v>
      </c>
      <c r="AJ57" s="48">
        <v>1</v>
      </c>
      <c r="AK57" s="47">
        <v>1</v>
      </c>
      <c r="AL57" s="47">
        <v>1</v>
      </c>
      <c r="AM57" s="47">
        <v>1</v>
      </c>
      <c r="AN57" s="47">
        <v>1</v>
      </c>
      <c r="AO57" s="48">
        <v>1</v>
      </c>
      <c r="AP57" s="48">
        <v>1</v>
      </c>
      <c r="AQ57" s="48">
        <v>1</v>
      </c>
      <c r="AR57" s="48">
        <v>1</v>
      </c>
      <c r="AS57" s="4"/>
      <c r="AW57" s="49">
        <f t="shared" si="12"/>
        <v>0</v>
      </c>
      <c r="AX57" s="49">
        <f t="shared" si="12"/>
        <v>0</v>
      </c>
      <c r="AY57" s="49">
        <f t="shared" si="12"/>
        <v>0</v>
      </c>
      <c r="AZ57" s="49">
        <f t="shared" si="12"/>
        <v>0</v>
      </c>
      <c r="BA57" s="49">
        <f t="shared" si="12"/>
        <v>1.5</v>
      </c>
      <c r="BB57" s="49">
        <f t="shared" si="12"/>
        <v>2</v>
      </c>
      <c r="BC57" s="49">
        <f t="shared" si="12"/>
        <v>20</v>
      </c>
      <c r="BD57" s="50">
        <f t="shared" si="13"/>
        <v>23.5</v>
      </c>
      <c r="BE57" s="51">
        <f t="shared" si="14"/>
        <v>235000</v>
      </c>
    </row>
    <row r="58" spans="2:57" x14ac:dyDescent="0.25">
      <c r="B58" s="7" t="s">
        <v>21</v>
      </c>
      <c r="C58" s="9" t="s">
        <v>44</v>
      </c>
      <c r="D58" s="8" t="s">
        <v>113</v>
      </c>
      <c r="E58" s="6" t="s">
        <v>114</v>
      </c>
      <c r="F58" s="8">
        <v>8000</v>
      </c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>
        <v>0.5</v>
      </c>
      <c r="U58" s="47">
        <v>0.5</v>
      </c>
      <c r="V58" s="47">
        <v>0.5</v>
      </c>
      <c r="W58" s="47">
        <v>1</v>
      </c>
      <c r="X58" s="47">
        <v>1</v>
      </c>
      <c r="Y58" s="47">
        <v>1</v>
      </c>
      <c r="Z58" s="47">
        <v>1</v>
      </c>
      <c r="AA58" s="47">
        <v>1</v>
      </c>
      <c r="AB58" s="47">
        <v>1</v>
      </c>
      <c r="AC58" s="47">
        <v>1</v>
      </c>
      <c r="AD58" s="47">
        <v>1</v>
      </c>
      <c r="AE58" s="47">
        <v>1</v>
      </c>
      <c r="AF58" s="47">
        <v>1</v>
      </c>
      <c r="AG58" s="47">
        <v>1</v>
      </c>
      <c r="AH58" s="47">
        <v>1</v>
      </c>
      <c r="AI58" s="47">
        <v>1</v>
      </c>
      <c r="AJ58" s="47">
        <v>1</v>
      </c>
      <c r="AK58" s="47">
        <v>1</v>
      </c>
      <c r="AL58" s="47">
        <v>1</v>
      </c>
      <c r="AM58" s="47">
        <v>1</v>
      </c>
      <c r="AN58" s="47">
        <v>1</v>
      </c>
      <c r="AO58" s="47">
        <v>1</v>
      </c>
      <c r="AP58" s="47">
        <v>1</v>
      </c>
      <c r="AQ58" s="47">
        <v>1</v>
      </c>
      <c r="AR58" s="47">
        <v>1</v>
      </c>
      <c r="AS58" s="4"/>
      <c r="AW58" s="49">
        <f t="shared" si="12"/>
        <v>0</v>
      </c>
      <c r="AX58" s="49">
        <f t="shared" si="12"/>
        <v>0</v>
      </c>
      <c r="AY58" s="49">
        <f t="shared" si="12"/>
        <v>0</v>
      </c>
      <c r="AZ58" s="49">
        <f t="shared" si="12"/>
        <v>0</v>
      </c>
      <c r="BA58" s="49">
        <f t="shared" si="12"/>
        <v>1.5</v>
      </c>
      <c r="BB58" s="49">
        <f t="shared" si="12"/>
        <v>2</v>
      </c>
      <c r="BC58" s="49">
        <f t="shared" si="12"/>
        <v>20</v>
      </c>
      <c r="BD58" s="50">
        <f t="shared" si="13"/>
        <v>23.5</v>
      </c>
      <c r="BE58" s="51">
        <f t="shared" si="14"/>
        <v>188000</v>
      </c>
    </row>
    <row r="59" spans="2:57" x14ac:dyDescent="0.25">
      <c r="B59" s="7" t="s">
        <v>11</v>
      </c>
      <c r="C59" s="9" t="s">
        <v>44</v>
      </c>
      <c r="D59" s="8" t="s">
        <v>115</v>
      </c>
      <c r="E59" s="6" t="s">
        <v>116</v>
      </c>
      <c r="F59" s="8">
        <v>10000</v>
      </c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>
        <v>0.5</v>
      </c>
      <c r="U59" s="47">
        <v>0.5</v>
      </c>
      <c r="V59" s="47">
        <v>0.5</v>
      </c>
      <c r="W59" s="47">
        <v>1</v>
      </c>
      <c r="X59" s="47">
        <v>1</v>
      </c>
      <c r="Y59" s="47">
        <v>1</v>
      </c>
      <c r="Z59" s="47">
        <v>1</v>
      </c>
      <c r="AA59" s="47">
        <v>1</v>
      </c>
      <c r="AB59" s="47">
        <v>1</v>
      </c>
      <c r="AC59" s="47">
        <v>1</v>
      </c>
      <c r="AD59" s="47">
        <v>1</v>
      </c>
      <c r="AE59" s="47">
        <v>1</v>
      </c>
      <c r="AF59" s="47">
        <v>1</v>
      </c>
      <c r="AG59" s="48">
        <v>1</v>
      </c>
      <c r="AH59" s="48">
        <v>1</v>
      </c>
      <c r="AI59" s="48">
        <v>1</v>
      </c>
      <c r="AJ59" s="48">
        <v>1</v>
      </c>
      <c r="AK59" s="47">
        <v>1</v>
      </c>
      <c r="AL59" s="47">
        <v>1</v>
      </c>
      <c r="AM59" s="47">
        <v>1</v>
      </c>
      <c r="AN59" s="47">
        <v>1</v>
      </c>
      <c r="AO59" s="48">
        <v>1</v>
      </c>
      <c r="AP59" s="48">
        <v>1</v>
      </c>
      <c r="AQ59" s="48">
        <v>1</v>
      </c>
      <c r="AR59" s="48">
        <v>1</v>
      </c>
      <c r="AS59" s="4"/>
      <c r="AW59" s="49">
        <f t="shared" si="12"/>
        <v>0</v>
      </c>
      <c r="AX59" s="49">
        <f t="shared" si="12"/>
        <v>0</v>
      </c>
      <c r="AY59" s="49">
        <f t="shared" si="12"/>
        <v>0</v>
      </c>
      <c r="AZ59" s="49">
        <f t="shared" si="12"/>
        <v>0</v>
      </c>
      <c r="BA59" s="49">
        <f t="shared" si="12"/>
        <v>1.5</v>
      </c>
      <c r="BB59" s="49">
        <f t="shared" si="12"/>
        <v>2</v>
      </c>
      <c r="BC59" s="49">
        <f t="shared" si="12"/>
        <v>20</v>
      </c>
      <c r="BD59" s="50">
        <f t="shared" si="13"/>
        <v>23.5</v>
      </c>
      <c r="BE59" s="51">
        <f t="shared" si="14"/>
        <v>235000</v>
      </c>
    </row>
    <row r="60" spans="2:57" ht="15" customHeight="1" x14ac:dyDescent="0.25">
      <c r="B60" s="64" t="s">
        <v>23</v>
      </c>
      <c r="C60" s="61"/>
      <c r="D60" s="61"/>
      <c r="E60" s="61"/>
      <c r="F60" s="6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4"/>
      <c r="AT60" s="4"/>
      <c r="AU60" s="4"/>
      <c r="AV60" s="4"/>
      <c r="AW60" s="32"/>
      <c r="AX60" s="32"/>
      <c r="AY60" s="32"/>
      <c r="AZ60" s="32"/>
      <c r="BA60" s="32"/>
      <c r="BB60" s="32"/>
      <c r="BC60" s="32"/>
      <c r="BD60" s="36"/>
    </row>
    <row r="61" spans="2:57" x14ac:dyDescent="0.25">
      <c r="B61" s="7" t="s">
        <v>23</v>
      </c>
      <c r="C61" s="9" t="s">
        <v>44</v>
      </c>
      <c r="D61" s="8" t="s">
        <v>117</v>
      </c>
      <c r="E61" s="6" t="s">
        <v>118</v>
      </c>
      <c r="F61" s="8">
        <v>9000</v>
      </c>
      <c r="G61" s="47"/>
      <c r="H61" s="47">
        <v>0.5</v>
      </c>
      <c r="I61" s="47">
        <v>0.5</v>
      </c>
      <c r="J61" s="47">
        <v>0.5</v>
      </c>
      <c r="K61" s="47">
        <v>1</v>
      </c>
      <c r="L61" s="47">
        <v>1</v>
      </c>
      <c r="M61" s="47">
        <v>1</v>
      </c>
      <c r="N61" s="47">
        <v>1</v>
      </c>
      <c r="O61" s="47">
        <v>1</v>
      </c>
      <c r="P61" s="47">
        <v>1</v>
      </c>
      <c r="Q61" s="47">
        <v>1</v>
      </c>
      <c r="R61" s="47">
        <v>1</v>
      </c>
      <c r="S61" s="47">
        <v>1</v>
      </c>
      <c r="T61" s="47">
        <v>1</v>
      </c>
      <c r="U61" s="47">
        <v>1</v>
      </c>
      <c r="V61" s="47">
        <v>1</v>
      </c>
      <c r="W61" s="47">
        <v>1</v>
      </c>
      <c r="X61" s="47">
        <v>1</v>
      </c>
      <c r="Y61" s="47">
        <v>1</v>
      </c>
      <c r="Z61" s="47">
        <v>1</v>
      </c>
      <c r="AA61" s="47">
        <v>1</v>
      </c>
      <c r="AB61" s="47">
        <v>0.5</v>
      </c>
      <c r="AC61" s="47">
        <v>0.5</v>
      </c>
      <c r="AD61" s="48">
        <v>0.5</v>
      </c>
      <c r="AE61" s="47">
        <v>0.5</v>
      </c>
      <c r="AF61" s="47">
        <v>0.5</v>
      </c>
      <c r="AG61" s="48">
        <v>0.5</v>
      </c>
      <c r="AH61" s="48">
        <v>0.5</v>
      </c>
      <c r="AI61" s="48">
        <v>0.5</v>
      </c>
      <c r="AJ61" s="48">
        <v>0.5</v>
      </c>
      <c r="AK61" s="48">
        <v>0.5</v>
      </c>
      <c r="AL61" s="48">
        <v>0.5</v>
      </c>
      <c r="AM61" s="48">
        <v>0.5</v>
      </c>
      <c r="AN61" s="48">
        <v>0.5</v>
      </c>
      <c r="AO61" s="48">
        <v>0.5</v>
      </c>
      <c r="AP61" s="48">
        <v>0.5</v>
      </c>
      <c r="AQ61" s="48">
        <v>0.5</v>
      </c>
      <c r="AR61" s="48">
        <v>0.5</v>
      </c>
      <c r="AS61" s="4"/>
      <c r="AW61" s="49">
        <f t="shared" ref="AW61:BC65" si="15">SUMIF($G$6:$AR$6,AW$7,$G61:$AR61)</f>
        <v>0</v>
      </c>
      <c r="AX61" s="49">
        <f t="shared" si="15"/>
        <v>1.5</v>
      </c>
      <c r="AY61" s="49">
        <f t="shared" si="15"/>
        <v>6</v>
      </c>
      <c r="AZ61" s="49">
        <f t="shared" si="15"/>
        <v>3</v>
      </c>
      <c r="BA61" s="49">
        <f t="shared" si="15"/>
        <v>3</v>
      </c>
      <c r="BB61" s="49">
        <f t="shared" si="15"/>
        <v>2</v>
      </c>
      <c r="BC61" s="49">
        <f t="shared" si="15"/>
        <v>11.5</v>
      </c>
      <c r="BD61" s="50">
        <f>SUM(AW61:BC61)</f>
        <v>27</v>
      </c>
      <c r="BE61" s="51">
        <f>F61*BD61</f>
        <v>243000</v>
      </c>
    </row>
    <row r="62" spans="2:57" x14ac:dyDescent="0.25">
      <c r="B62" s="7" t="s">
        <v>23</v>
      </c>
      <c r="C62" s="9" t="s">
        <v>44</v>
      </c>
      <c r="D62" s="8" t="s">
        <v>119</v>
      </c>
      <c r="E62" s="6" t="s">
        <v>120</v>
      </c>
      <c r="F62" s="8">
        <v>10000</v>
      </c>
      <c r="G62" s="47"/>
      <c r="H62" s="47">
        <v>0.5</v>
      </c>
      <c r="I62" s="47">
        <v>0.5</v>
      </c>
      <c r="J62" s="47">
        <v>0.5</v>
      </c>
      <c r="K62" s="47">
        <v>1</v>
      </c>
      <c r="L62" s="47">
        <v>1</v>
      </c>
      <c r="M62" s="47">
        <v>1</v>
      </c>
      <c r="N62" s="47">
        <v>1</v>
      </c>
      <c r="O62" s="47">
        <v>1</v>
      </c>
      <c r="P62" s="47">
        <v>1</v>
      </c>
      <c r="Q62" s="47">
        <v>1</v>
      </c>
      <c r="R62" s="47">
        <v>1</v>
      </c>
      <c r="S62" s="47">
        <v>1</v>
      </c>
      <c r="T62" s="47">
        <v>1</v>
      </c>
      <c r="U62" s="47">
        <v>1</v>
      </c>
      <c r="V62" s="47">
        <v>1</v>
      </c>
      <c r="W62" s="47">
        <v>1</v>
      </c>
      <c r="X62" s="47">
        <v>1</v>
      </c>
      <c r="Y62" s="47">
        <v>1</v>
      </c>
      <c r="Z62" s="47">
        <v>1</v>
      </c>
      <c r="AA62" s="47">
        <v>1</v>
      </c>
      <c r="AB62" s="47">
        <v>0.5</v>
      </c>
      <c r="AC62" s="47">
        <v>0.5</v>
      </c>
      <c r="AD62" s="48">
        <v>0.5</v>
      </c>
      <c r="AE62" s="47">
        <v>0.5</v>
      </c>
      <c r="AF62" s="47">
        <v>0.5</v>
      </c>
      <c r="AG62" s="48">
        <v>0.5</v>
      </c>
      <c r="AH62" s="48">
        <v>0.5</v>
      </c>
      <c r="AI62" s="48">
        <v>0.5</v>
      </c>
      <c r="AJ62" s="48">
        <v>0.5</v>
      </c>
      <c r="AK62" s="48"/>
      <c r="AL62" s="48"/>
      <c r="AM62" s="48"/>
      <c r="AN62" s="48"/>
      <c r="AO62" s="48"/>
      <c r="AP62" s="48"/>
      <c r="AQ62" s="48"/>
      <c r="AR62" s="48"/>
      <c r="AS62" s="4"/>
      <c r="AW62" s="49">
        <f t="shared" si="15"/>
        <v>0</v>
      </c>
      <c r="AX62" s="49">
        <f t="shared" si="15"/>
        <v>1.5</v>
      </c>
      <c r="AY62" s="49">
        <f t="shared" si="15"/>
        <v>6</v>
      </c>
      <c r="AZ62" s="49">
        <f t="shared" si="15"/>
        <v>3</v>
      </c>
      <c r="BA62" s="49">
        <f t="shared" si="15"/>
        <v>3</v>
      </c>
      <c r="BB62" s="49">
        <f t="shared" si="15"/>
        <v>2</v>
      </c>
      <c r="BC62" s="49">
        <f t="shared" si="15"/>
        <v>7.5</v>
      </c>
      <c r="BD62" s="50">
        <f>SUM(AW62:BC62)</f>
        <v>23</v>
      </c>
      <c r="BE62" s="51">
        <f>F62*BD62</f>
        <v>230000</v>
      </c>
    </row>
    <row r="63" spans="2:57" x14ac:dyDescent="0.25">
      <c r="B63" s="7" t="s">
        <v>23</v>
      </c>
      <c r="C63" s="9" t="s">
        <v>44</v>
      </c>
      <c r="D63" s="8" t="s">
        <v>121</v>
      </c>
      <c r="E63" s="6" t="s">
        <v>122</v>
      </c>
      <c r="F63" s="8">
        <v>6000</v>
      </c>
      <c r="G63" s="47"/>
      <c r="H63" s="47"/>
      <c r="I63" s="47"/>
      <c r="J63" s="47"/>
      <c r="K63" s="47">
        <v>0.5</v>
      </c>
      <c r="L63" s="47">
        <v>0.5</v>
      </c>
      <c r="M63" s="47">
        <v>0.5</v>
      </c>
      <c r="N63" s="47">
        <v>0.5</v>
      </c>
      <c r="O63" s="47">
        <v>0.5</v>
      </c>
      <c r="P63" s="47">
        <v>0.5</v>
      </c>
      <c r="Q63" s="47">
        <v>1</v>
      </c>
      <c r="R63" s="47">
        <v>1</v>
      </c>
      <c r="S63" s="47">
        <v>1</v>
      </c>
      <c r="T63" s="47">
        <v>1</v>
      </c>
      <c r="U63" s="47">
        <v>1</v>
      </c>
      <c r="V63" s="47">
        <v>1</v>
      </c>
      <c r="W63" s="47">
        <v>1</v>
      </c>
      <c r="X63" s="47">
        <v>1</v>
      </c>
      <c r="Y63" s="47">
        <v>1</v>
      </c>
      <c r="Z63" s="47">
        <v>1</v>
      </c>
      <c r="AA63" s="47">
        <v>1</v>
      </c>
      <c r="AB63" s="47">
        <v>1</v>
      </c>
      <c r="AC63" s="47">
        <v>1</v>
      </c>
      <c r="AD63" s="47">
        <v>1</v>
      </c>
      <c r="AE63" s="47">
        <v>1</v>
      </c>
      <c r="AF63" s="47">
        <v>1</v>
      </c>
      <c r="AG63" s="48">
        <v>1</v>
      </c>
      <c r="AH63" s="48">
        <v>1</v>
      </c>
      <c r="AI63" s="48">
        <v>1</v>
      </c>
      <c r="AJ63" s="48">
        <v>1</v>
      </c>
      <c r="AK63" s="47">
        <v>1</v>
      </c>
      <c r="AL63" s="47">
        <v>1</v>
      </c>
      <c r="AM63" s="47">
        <v>1</v>
      </c>
      <c r="AN63" s="47">
        <v>1</v>
      </c>
      <c r="AO63" s="48">
        <v>1</v>
      </c>
      <c r="AP63" s="48">
        <v>1</v>
      </c>
      <c r="AQ63" s="48">
        <v>1</v>
      </c>
      <c r="AR63" s="48">
        <v>1</v>
      </c>
      <c r="AS63" s="4"/>
      <c r="AW63" s="49">
        <f t="shared" si="15"/>
        <v>0</v>
      </c>
      <c r="AX63" s="49">
        <f t="shared" si="15"/>
        <v>0</v>
      </c>
      <c r="AY63" s="49">
        <f t="shared" si="15"/>
        <v>3</v>
      </c>
      <c r="AZ63" s="49">
        <f t="shared" si="15"/>
        <v>3</v>
      </c>
      <c r="BA63" s="49">
        <f t="shared" si="15"/>
        <v>3</v>
      </c>
      <c r="BB63" s="49">
        <f t="shared" si="15"/>
        <v>2</v>
      </c>
      <c r="BC63" s="49">
        <f t="shared" si="15"/>
        <v>20</v>
      </c>
      <c r="BD63" s="50">
        <f>SUM(AW63:BC63)</f>
        <v>31</v>
      </c>
      <c r="BE63" s="51">
        <f>F63*BD63</f>
        <v>186000</v>
      </c>
    </row>
    <row r="64" spans="2:57" x14ac:dyDescent="0.25">
      <c r="B64" s="7" t="s">
        <v>23</v>
      </c>
      <c r="C64" s="9" t="s">
        <v>44</v>
      </c>
      <c r="D64" s="8" t="s">
        <v>135</v>
      </c>
      <c r="E64" s="6"/>
      <c r="F64" s="8">
        <v>6000</v>
      </c>
      <c r="G64" s="47"/>
      <c r="H64" s="47"/>
      <c r="I64" s="47"/>
      <c r="J64" s="47"/>
      <c r="K64" s="56"/>
      <c r="L64" s="56"/>
      <c r="M64" s="56"/>
      <c r="N64" s="56"/>
      <c r="O64" s="56"/>
      <c r="P64" s="56"/>
      <c r="Q64" s="56">
        <v>0.5</v>
      </c>
      <c r="R64" s="56">
        <v>0.5</v>
      </c>
      <c r="S64" s="56">
        <v>0.5</v>
      </c>
      <c r="T64" s="56">
        <v>1</v>
      </c>
      <c r="U64" s="56">
        <v>1</v>
      </c>
      <c r="V64" s="56">
        <v>1</v>
      </c>
      <c r="W64" s="56">
        <v>1</v>
      </c>
      <c r="X64" s="56">
        <v>1</v>
      </c>
      <c r="Y64" s="56">
        <v>1</v>
      </c>
      <c r="Z64" s="56">
        <v>1</v>
      </c>
      <c r="AA64" s="56">
        <v>1</v>
      </c>
      <c r="AB64" s="56">
        <v>1</v>
      </c>
      <c r="AC64" s="56">
        <v>1</v>
      </c>
      <c r="AD64" s="56">
        <v>1</v>
      </c>
      <c r="AE64" s="56">
        <v>1</v>
      </c>
      <c r="AF64" s="56">
        <v>1</v>
      </c>
      <c r="AG64" s="56">
        <v>1</v>
      </c>
      <c r="AH64" s="56">
        <v>1</v>
      </c>
      <c r="AI64" s="56">
        <v>1</v>
      </c>
      <c r="AJ64" s="56">
        <v>1</v>
      </c>
      <c r="AK64" s="56">
        <v>1</v>
      </c>
      <c r="AL64" s="56">
        <v>1</v>
      </c>
      <c r="AM64" s="56">
        <v>1</v>
      </c>
      <c r="AN64" s="56">
        <v>1</v>
      </c>
      <c r="AO64" s="56">
        <v>1</v>
      </c>
      <c r="AP64" s="56">
        <v>1</v>
      </c>
      <c r="AQ64" s="56">
        <v>1</v>
      </c>
      <c r="AR64" s="56">
        <v>1</v>
      </c>
      <c r="AS64" s="4"/>
      <c r="AW64" s="49">
        <f t="shared" si="15"/>
        <v>0</v>
      </c>
      <c r="AX64" s="49">
        <f t="shared" si="15"/>
        <v>0</v>
      </c>
      <c r="AY64" s="49">
        <f t="shared" si="15"/>
        <v>0</v>
      </c>
      <c r="AZ64" s="49">
        <f t="shared" si="15"/>
        <v>1.5</v>
      </c>
      <c r="BA64" s="49">
        <f t="shared" si="15"/>
        <v>3</v>
      </c>
      <c r="BB64" s="49">
        <f t="shared" si="15"/>
        <v>2</v>
      </c>
      <c r="BC64" s="49">
        <f t="shared" si="15"/>
        <v>20</v>
      </c>
      <c r="BD64" s="50">
        <f t="shared" ref="BD64:BD65" si="16">SUM(AW64:BC64)</f>
        <v>26.5</v>
      </c>
      <c r="BE64" s="51">
        <f t="shared" ref="BE64:BE65" si="17">F64*BD64</f>
        <v>159000</v>
      </c>
    </row>
    <row r="65" spans="2:57" x14ac:dyDescent="0.25">
      <c r="B65" s="7" t="s">
        <v>23</v>
      </c>
      <c r="C65" s="9" t="s">
        <v>44</v>
      </c>
      <c r="D65" s="8" t="s">
        <v>135</v>
      </c>
      <c r="E65" s="6"/>
      <c r="F65" s="8">
        <v>6000</v>
      </c>
      <c r="G65" s="47"/>
      <c r="H65" s="47"/>
      <c r="I65" s="47"/>
      <c r="J65" s="47"/>
      <c r="K65" s="56"/>
      <c r="L65" s="56"/>
      <c r="M65" s="56"/>
      <c r="N65" s="56"/>
      <c r="O65" s="56"/>
      <c r="P65" s="56"/>
      <c r="Q65" s="56">
        <v>0.5</v>
      </c>
      <c r="R65" s="56">
        <v>0.5</v>
      </c>
      <c r="S65" s="56">
        <v>0.5</v>
      </c>
      <c r="T65" s="56">
        <v>1</v>
      </c>
      <c r="U65" s="56">
        <v>1</v>
      </c>
      <c r="V65" s="56">
        <v>1</v>
      </c>
      <c r="W65" s="56">
        <v>1</v>
      </c>
      <c r="X65" s="56">
        <v>1</v>
      </c>
      <c r="Y65" s="56">
        <v>1</v>
      </c>
      <c r="Z65" s="56">
        <v>1</v>
      </c>
      <c r="AA65" s="56">
        <v>1</v>
      </c>
      <c r="AB65" s="56">
        <v>1</v>
      </c>
      <c r="AC65" s="56">
        <v>1</v>
      </c>
      <c r="AD65" s="56">
        <v>1</v>
      </c>
      <c r="AE65" s="56">
        <v>1</v>
      </c>
      <c r="AF65" s="56">
        <v>1</v>
      </c>
      <c r="AG65" s="56">
        <v>1</v>
      </c>
      <c r="AH65" s="56">
        <v>1</v>
      </c>
      <c r="AI65" s="56">
        <v>1</v>
      </c>
      <c r="AJ65" s="56">
        <v>1</v>
      </c>
      <c r="AK65" s="56">
        <v>1</v>
      </c>
      <c r="AL65" s="56">
        <v>1</v>
      </c>
      <c r="AM65" s="56">
        <v>1</v>
      </c>
      <c r="AN65" s="56">
        <v>1</v>
      </c>
      <c r="AO65" s="56">
        <v>1</v>
      </c>
      <c r="AP65" s="56">
        <v>1</v>
      </c>
      <c r="AQ65" s="56">
        <v>1</v>
      </c>
      <c r="AR65" s="56">
        <v>1</v>
      </c>
      <c r="AS65" s="4"/>
      <c r="AW65" s="49">
        <f t="shared" si="15"/>
        <v>0</v>
      </c>
      <c r="AX65" s="49">
        <f t="shared" si="15"/>
        <v>0</v>
      </c>
      <c r="AY65" s="49">
        <f t="shared" si="15"/>
        <v>0</v>
      </c>
      <c r="AZ65" s="49">
        <f t="shared" si="15"/>
        <v>1.5</v>
      </c>
      <c r="BA65" s="49">
        <f t="shared" si="15"/>
        <v>3</v>
      </c>
      <c r="BB65" s="49">
        <f t="shared" si="15"/>
        <v>2</v>
      </c>
      <c r="BC65" s="49">
        <f t="shared" si="15"/>
        <v>20</v>
      </c>
      <c r="BD65" s="50">
        <f t="shared" si="16"/>
        <v>26.5</v>
      </c>
      <c r="BE65" s="51">
        <f t="shared" si="17"/>
        <v>159000</v>
      </c>
    </row>
    <row r="66" spans="2:57" ht="15" customHeight="1" x14ac:dyDescent="0.25">
      <c r="B66" s="64" t="s">
        <v>123</v>
      </c>
      <c r="C66" s="61"/>
      <c r="D66" s="61"/>
      <c r="E66" s="61"/>
      <c r="F66" s="6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4"/>
      <c r="AT66" s="4"/>
      <c r="AU66" s="4"/>
      <c r="AV66" s="4"/>
      <c r="AW66" s="32"/>
      <c r="AX66" s="32"/>
      <c r="AY66" s="32"/>
      <c r="AZ66" s="32"/>
      <c r="BA66" s="32"/>
      <c r="BB66" s="32"/>
      <c r="BC66" s="32"/>
      <c r="BD66" s="36"/>
      <c r="BE66" s="51"/>
    </row>
    <row r="67" spans="2:57" x14ac:dyDescent="0.25">
      <c r="B67" s="7" t="s">
        <v>22</v>
      </c>
      <c r="C67" s="9" t="s">
        <v>124</v>
      </c>
      <c r="D67" s="8" t="s">
        <v>125</v>
      </c>
      <c r="E67" s="6" t="s">
        <v>126</v>
      </c>
      <c r="F67" s="8">
        <v>9000</v>
      </c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>
        <v>1</v>
      </c>
      <c r="U67" s="47">
        <v>1</v>
      </c>
      <c r="V67" s="47">
        <v>1</v>
      </c>
      <c r="W67" s="47"/>
      <c r="X67" s="47"/>
      <c r="Y67" s="47">
        <v>1</v>
      </c>
      <c r="Z67" s="47"/>
      <c r="AA67" s="47"/>
      <c r="AB67" s="47">
        <v>1</v>
      </c>
      <c r="AD67" s="47"/>
      <c r="AE67" s="47">
        <v>1</v>
      </c>
      <c r="AF67" s="47"/>
      <c r="AH67" s="47">
        <v>1</v>
      </c>
      <c r="AI67" s="48"/>
      <c r="AJ67" s="48"/>
      <c r="AK67" s="48">
        <v>1</v>
      </c>
      <c r="AL67" s="48"/>
      <c r="AM67" s="48"/>
      <c r="AN67" s="48">
        <v>1</v>
      </c>
      <c r="AP67" s="48"/>
      <c r="AQ67" s="48">
        <v>1</v>
      </c>
      <c r="AR67" s="48"/>
      <c r="AS67" s="4"/>
      <c r="AW67" s="49">
        <f t="shared" ref="AW67:BC71" si="18">SUMIF($G$6:$AR$6,AW$7,$G67:$AR67)</f>
        <v>0</v>
      </c>
      <c r="AX67" s="49">
        <f t="shared" si="18"/>
        <v>0</v>
      </c>
      <c r="AY67" s="49">
        <f t="shared" si="18"/>
        <v>0</v>
      </c>
      <c r="AZ67" s="49">
        <f t="shared" si="18"/>
        <v>0</v>
      </c>
      <c r="BA67" s="49">
        <f t="shared" si="18"/>
        <v>3</v>
      </c>
      <c r="BB67" s="49">
        <f t="shared" si="18"/>
        <v>0</v>
      </c>
      <c r="BC67" s="49">
        <f t="shared" si="18"/>
        <v>7</v>
      </c>
      <c r="BD67" s="50">
        <f>SUM(AW67:BC67)</f>
        <v>10</v>
      </c>
      <c r="BE67" s="51">
        <f>F67*BD67</f>
        <v>90000</v>
      </c>
    </row>
    <row r="68" spans="2:57" x14ac:dyDescent="0.25">
      <c r="B68" s="7" t="s">
        <v>16</v>
      </c>
      <c r="C68" s="9" t="s">
        <v>124</v>
      </c>
      <c r="D68" s="8" t="s">
        <v>127</v>
      </c>
      <c r="E68" s="6" t="s">
        <v>126</v>
      </c>
      <c r="F68" s="8">
        <v>10000</v>
      </c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>
        <v>1</v>
      </c>
      <c r="U68" s="47">
        <v>1</v>
      </c>
      <c r="V68" s="47">
        <v>1</v>
      </c>
      <c r="W68" s="47"/>
      <c r="X68" s="47"/>
      <c r="Y68" s="47">
        <v>1</v>
      </c>
      <c r="Z68" s="47"/>
      <c r="AA68" s="47"/>
      <c r="AB68" s="47">
        <v>1</v>
      </c>
      <c r="AD68" s="47"/>
      <c r="AE68" s="48">
        <v>1</v>
      </c>
      <c r="AF68" s="47"/>
      <c r="AH68" s="48">
        <v>1</v>
      </c>
      <c r="AI68" s="48"/>
      <c r="AJ68" s="48"/>
      <c r="AK68" s="48">
        <v>1</v>
      </c>
      <c r="AL68" s="48"/>
      <c r="AM68" s="48"/>
      <c r="AN68" s="48">
        <v>1</v>
      </c>
      <c r="AP68" s="48"/>
      <c r="AQ68" s="48">
        <v>1</v>
      </c>
      <c r="AR68" s="48"/>
      <c r="AS68" s="4"/>
      <c r="AW68" s="49">
        <f t="shared" si="18"/>
        <v>0</v>
      </c>
      <c r="AX68" s="49">
        <f t="shared" si="18"/>
        <v>0</v>
      </c>
      <c r="AY68" s="49">
        <f t="shared" si="18"/>
        <v>0</v>
      </c>
      <c r="AZ68" s="49">
        <f t="shared" si="18"/>
        <v>0</v>
      </c>
      <c r="BA68" s="49">
        <f t="shared" si="18"/>
        <v>3</v>
      </c>
      <c r="BB68" s="49">
        <f t="shared" si="18"/>
        <v>0</v>
      </c>
      <c r="BC68" s="49">
        <f t="shared" si="18"/>
        <v>7</v>
      </c>
      <c r="BD68" s="50">
        <f>SUM(AW68:BC68)</f>
        <v>10</v>
      </c>
      <c r="BE68" s="51">
        <f>F68*BD68</f>
        <v>100000</v>
      </c>
    </row>
    <row r="69" spans="2:57" x14ac:dyDescent="0.25">
      <c r="B69" s="7" t="s">
        <v>16</v>
      </c>
      <c r="C69" s="9" t="s">
        <v>124</v>
      </c>
      <c r="D69" s="8" t="s">
        <v>128</v>
      </c>
      <c r="E69" s="6" t="s">
        <v>126</v>
      </c>
      <c r="F69" s="8">
        <v>9000</v>
      </c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>
        <v>0.5</v>
      </c>
      <c r="U69" s="47">
        <v>0.5</v>
      </c>
      <c r="V69" s="47">
        <v>0.5</v>
      </c>
      <c r="W69" s="47">
        <v>1</v>
      </c>
      <c r="X69" s="47">
        <v>1</v>
      </c>
      <c r="Y69" s="47">
        <v>1</v>
      </c>
      <c r="Z69" s="47"/>
      <c r="AA69" s="47"/>
      <c r="AB69" s="47">
        <v>1</v>
      </c>
      <c r="AD69" s="47"/>
      <c r="AE69" s="47">
        <v>1</v>
      </c>
      <c r="AF69" s="47"/>
      <c r="AH69" s="47">
        <v>1</v>
      </c>
      <c r="AI69" s="48"/>
      <c r="AJ69" s="48"/>
      <c r="AK69" s="47">
        <v>1</v>
      </c>
      <c r="AL69" s="48"/>
      <c r="AM69" s="48"/>
      <c r="AN69" s="47">
        <v>1</v>
      </c>
      <c r="AP69" s="48"/>
      <c r="AQ69" s="47">
        <v>1</v>
      </c>
      <c r="AR69" s="48"/>
      <c r="AS69" s="4"/>
      <c r="AW69" s="49">
        <f t="shared" si="18"/>
        <v>0</v>
      </c>
      <c r="AX69" s="49">
        <f t="shared" si="18"/>
        <v>0</v>
      </c>
      <c r="AY69" s="49">
        <f t="shared" si="18"/>
        <v>0</v>
      </c>
      <c r="AZ69" s="49">
        <f t="shared" si="18"/>
        <v>0</v>
      </c>
      <c r="BA69" s="49">
        <f t="shared" si="18"/>
        <v>1.5</v>
      </c>
      <c r="BB69" s="49">
        <f t="shared" si="18"/>
        <v>2</v>
      </c>
      <c r="BC69" s="49">
        <f t="shared" si="18"/>
        <v>7</v>
      </c>
      <c r="BD69" s="50">
        <f>SUM(AW69:BC69)</f>
        <v>10.5</v>
      </c>
      <c r="BE69" s="51">
        <f>F69*BD69</f>
        <v>94500</v>
      </c>
    </row>
    <row r="70" spans="2:57" x14ac:dyDescent="0.25">
      <c r="B70" s="7" t="s">
        <v>22</v>
      </c>
      <c r="C70" s="9" t="s">
        <v>124</v>
      </c>
      <c r="D70" s="8" t="s">
        <v>136</v>
      </c>
      <c r="E70" s="6" t="s">
        <v>126</v>
      </c>
      <c r="F70" s="8">
        <v>10000</v>
      </c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>
        <v>1</v>
      </c>
      <c r="U70" s="47">
        <v>1</v>
      </c>
      <c r="V70" s="47">
        <v>1</v>
      </c>
      <c r="W70" s="47"/>
      <c r="X70" s="47"/>
      <c r="Y70" s="47">
        <v>1</v>
      </c>
      <c r="Z70" s="47"/>
      <c r="AA70" s="47"/>
      <c r="AB70" s="47">
        <v>1</v>
      </c>
      <c r="AD70" s="47"/>
      <c r="AE70" s="47">
        <v>1</v>
      </c>
      <c r="AF70" s="47"/>
      <c r="AH70" s="47">
        <v>1</v>
      </c>
      <c r="AI70" s="48"/>
      <c r="AJ70" s="48"/>
      <c r="AK70" s="47">
        <v>1</v>
      </c>
      <c r="AL70" s="48"/>
      <c r="AM70" s="48"/>
      <c r="AN70" s="47">
        <v>1</v>
      </c>
      <c r="AP70" s="48"/>
      <c r="AQ70" s="47">
        <v>1</v>
      </c>
      <c r="AR70" s="48"/>
      <c r="AS70" s="4"/>
      <c r="AW70" s="49">
        <f t="shared" si="18"/>
        <v>0</v>
      </c>
      <c r="AX70" s="49">
        <f t="shared" si="18"/>
        <v>0</v>
      </c>
      <c r="AY70" s="49">
        <f t="shared" si="18"/>
        <v>0</v>
      </c>
      <c r="AZ70" s="49">
        <f t="shared" si="18"/>
        <v>0</v>
      </c>
      <c r="BA70" s="49">
        <f t="shared" si="18"/>
        <v>3</v>
      </c>
      <c r="BB70" s="49">
        <f t="shared" si="18"/>
        <v>0</v>
      </c>
      <c r="BC70" s="49">
        <f t="shared" si="18"/>
        <v>7</v>
      </c>
      <c r="BD70" s="50">
        <f>SUM(AW70:BC70)</f>
        <v>10</v>
      </c>
      <c r="BE70" s="51">
        <f>F70*BD70</f>
        <v>100000</v>
      </c>
    </row>
    <row r="71" spans="2:57" x14ac:dyDescent="0.25">
      <c r="B71" s="7" t="s">
        <v>22</v>
      </c>
      <c r="C71" s="9" t="s">
        <v>124</v>
      </c>
      <c r="D71" s="8" t="s">
        <v>129</v>
      </c>
      <c r="E71" s="6" t="s">
        <v>126</v>
      </c>
      <c r="F71" s="8">
        <v>8000</v>
      </c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>
        <v>1</v>
      </c>
      <c r="U71" s="47">
        <v>1</v>
      </c>
      <c r="V71" s="47">
        <v>1</v>
      </c>
      <c r="W71" s="47"/>
      <c r="X71" s="47"/>
      <c r="Y71" s="47">
        <v>1</v>
      </c>
      <c r="Z71" s="47"/>
      <c r="AA71" s="47"/>
      <c r="AB71" s="47">
        <v>1</v>
      </c>
      <c r="AD71" s="47"/>
      <c r="AE71" s="47">
        <v>1</v>
      </c>
      <c r="AF71" s="47"/>
      <c r="AH71" s="47">
        <v>1</v>
      </c>
      <c r="AI71" s="48"/>
      <c r="AJ71" s="48"/>
      <c r="AK71" s="47">
        <v>1</v>
      </c>
      <c r="AL71" s="48"/>
      <c r="AM71" s="48"/>
      <c r="AN71" s="47">
        <v>1</v>
      </c>
      <c r="AP71" s="48"/>
      <c r="AQ71" s="47">
        <v>1</v>
      </c>
      <c r="AR71" s="48"/>
      <c r="AS71" s="4"/>
      <c r="AW71" s="49">
        <f t="shared" si="18"/>
        <v>0</v>
      </c>
      <c r="AX71" s="49">
        <f t="shared" si="18"/>
        <v>0</v>
      </c>
      <c r="AY71" s="49">
        <f t="shared" si="18"/>
        <v>0</v>
      </c>
      <c r="AZ71" s="49">
        <f t="shared" si="18"/>
        <v>0</v>
      </c>
      <c r="BA71" s="49">
        <f t="shared" si="18"/>
        <v>3</v>
      </c>
      <c r="BB71" s="49">
        <f t="shared" si="18"/>
        <v>0</v>
      </c>
      <c r="BC71" s="49">
        <f t="shared" si="18"/>
        <v>7</v>
      </c>
      <c r="BD71" s="50">
        <f>SUM(AW71:BC71)</f>
        <v>10</v>
      </c>
      <c r="BE71" s="51">
        <f>F71*BD71</f>
        <v>80000</v>
      </c>
    </row>
    <row r="72" spans="2:57" ht="15" customHeight="1" x14ac:dyDescent="0.3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52">
        <f t="shared" ref="AW72:BE72" si="19">SUM(AW20:AW71)</f>
        <v>3</v>
      </c>
      <c r="AX72" s="52">
        <f t="shared" si="19"/>
        <v>27</v>
      </c>
      <c r="AY72" s="52">
        <f t="shared" si="19"/>
        <v>141</v>
      </c>
      <c r="AZ72" s="52">
        <f t="shared" si="19"/>
        <v>84</v>
      </c>
      <c r="BA72" s="52">
        <f t="shared" si="19"/>
        <v>115.5</v>
      </c>
      <c r="BB72" s="52">
        <f t="shared" si="19"/>
        <v>76</v>
      </c>
      <c r="BC72" s="53">
        <f t="shared" si="19"/>
        <v>505</v>
      </c>
      <c r="BD72" s="53">
        <f t="shared" si="19"/>
        <v>951.5</v>
      </c>
      <c r="BE72" s="54">
        <f t="shared" si="19"/>
        <v>9629500</v>
      </c>
    </row>
    <row r="73" spans="2:57" ht="29.5" customHeight="1" x14ac:dyDescent="0.25">
      <c r="B73" s="4"/>
      <c r="C73" s="4"/>
      <c r="D73" s="4"/>
      <c r="E73" s="4"/>
      <c r="F73" s="4"/>
      <c r="G73" s="66" t="s">
        <v>130</v>
      </c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4"/>
      <c r="AV73" s="4"/>
      <c r="AW73" s="4"/>
      <c r="AX73" s="4"/>
      <c r="AY73" s="4"/>
      <c r="AZ73" s="4"/>
      <c r="BA73" s="4"/>
      <c r="BB73" s="4"/>
    </row>
    <row r="74" spans="2:57" x14ac:dyDescent="0.2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</row>
    <row r="75" spans="2:57" ht="15" customHeight="1" x14ac:dyDescent="0.35">
      <c r="B75" s="4"/>
      <c r="C75" s="4"/>
      <c r="D75" s="4"/>
      <c r="E75" s="4"/>
      <c r="F75" s="4"/>
      <c r="G75" s="65">
        <v>2026</v>
      </c>
      <c r="H75" s="61"/>
      <c r="I75" s="61"/>
      <c r="J75" s="61"/>
      <c r="K75" s="61"/>
      <c r="L75" s="62"/>
      <c r="M75" s="60">
        <v>2027</v>
      </c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2"/>
      <c r="Y75" s="67">
        <v>2028</v>
      </c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2"/>
      <c r="AK75" s="60">
        <v>2029</v>
      </c>
      <c r="AL75" s="61"/>
      <c r="AM75" s="61"/>
      <c r="AN75" s="61"/>
      <c r="AO75" s="61"/>
      <c r="AP75" s="61"/>
      <c r="AQ75" s="61"/>
      <c r="AR75" s="62"/>
      <c r="AS75" s="4"/>
      <c r="AT75" s="4"/>
      <c r="AU75" s="4"/>
      <c r="AV75" s="4"/>
      <c r="AW75" s="4"/>
      <c r="AX75" s="4"/>
      <c r="AY75" s="4"/>
      <c r="AZ75" s="4"/>
      <c r="BA75" s="4"/>
      <c r="BB75" s="4"/>
    </row>
    <row r="76" spans="2:57" ht="13" x14ac:dyDescent="0.3">
      <c r="B76" s="4"/>
      <c r="C76" s="4"/>
      <c r="D76" s="4"/>
      <c r="E76" s="4" t="s">
        <v>131</v>
      </c>
      <c r="F76" s="4"/>
      <c r="G76" s="39" t="s">
        <v>29</v>
      </c>
      <c r="H76" s="39" t="s">
        <v>30</v>
      </c>
      <c r="I76" s="39" t="s">
        <v>31</v>
      </c>
      <c r="J76" s="39" t="s">
        <v>32</v>
      </c>
      <c r="K76" s="39" t="s">
        <v>33</v>
      </c>
      <c r="L76" s="40" t="s">
        <v>34</v>
      </c>
      <c r="M76" s="41" t="s">
        <v>35</v>
      </c>
      <c r="N76" s="39" t="s">
        <v>36</v>
      </c>
      <c r="O76" s="39" t="s">
        <v>37</v>
      </c>
      <c r="P76" s="39" t="s">
        <v>38</v>
      </c>
      <c r="Q76" s="39" t="s">
        <v>39</v>
      </c>
      <c r="R76" s="39" t="s">
        <v>40</v>
      </c>
      <c r="S76" s="39" t="s">
        <v>29</v>
      </c>
      <c r="T76" s="39" t="s">
        <v>30</v>
      </c>
      <c r="U76" s="39" t="s">
        <v>31</v>
      </c>
      <c r="V76" s="39" t="s">
        <v>32</v>
      </c>
      <c r="W76" s="39" t="s">
        <v>33</v>
      </c>
      <c r="X76" s="40" t="s">
        <v>34</v>
      </c>
      <c r="Y76" s="41" t="s">
        <v>35</v>
      </c>
      <c r="Z76" s="39" t="s">
        <v>36</v>
      </c>
      <c r="AA76" s="39" t="s">
        <v>37</v>
      </c>
      <c r="AB76" s="39" t="s">
        <v>38</v>
      </c>
      <c r="AC76" s="39" t="s">
        <v>39</v>
      </c>
      <c r="AD76" s="39" t="s">
        <v>40</v>
      </c>
      <c r="AE76" s="39" t="s">
        <v>29</v>
      </c>
      <c r="AF76" s="39" t="s">
        <v>30</v>
      </c>
      <c r="AG76" s="39" t="s">
        <v>31</v>
      </c>
      <c r="AH76" s="39" t="s">
        <v>32</v>
      </c>
      <c r="AI76" s="39" t="s">
        <v>33</v>
      </c>
      <c r="AJ76" s="40" t="s">
        <v>34</v>
      </c>
      <c r="AK76" s="41" t="s">
        <v>35</v>
      </c>
      <c r="AL76" s="39" t="s">
        <v>36</v>
      </c>
      <c r="AM76" s="39" t="s">
        <v>37</v>
      </c>
      <c r="AN76" s="39" t="s">
        <v>38</v>
      </c>
      <c r="AO76" s="39" t="s">
        <v>39</v>
      </c>
      <c r="AP76" s="39" t="s">
        <v>40</v>
      </c>
      <c r="AQ76" s="39" t="s">
        <v>29</v>
      </c>
      <c r="AR76" s="40" t="s">
        <v>30</v>
      </c>
      <c r="AT76" s="29" t="s">
        <v>132</v>
      </c>
      <c r="AU76" s="4"/>
      <c r="AV76" s="4"/>
      <c r="AW76" s="4"/>
      <c r="AX76" s="4"/>
      <c r="AY76" s="4"/>
      <c r="AZ76" s="4"/>
      <c r="BA76" s="4"/>
      <c r="BB76" s="4"/>
    </row>
    <row r="77" spans="2:57" x14ac:dyDescent="0.25">
      <c r="B77" s="4"/>
      <c r="C77" s="4"/>
      <c r="D77" s="4"/>
      <c r="E77" s="18" t="s">
        <v>16</v>
      </c>
      <c r="G77" s="1">
        <f>SUMIF($B$20:$B$71,$E77,G$20:G$71)</f>
        <v>0.5</v>
      </c>
      <c r="H77" s="1">
        <f>SUMIF($B$20:$B$71,$E77,H$20:H$71)</f>
        <v>1</v>
      </c>
      <c r="I77" s="1">
        <f>SUMIF($B$20:$B$71,$E77,I$20:I$71)</f>
        <v>1</v>
      </c>
      <c r="J77" s="1">
        <f>SUMIF($B$20:$B$71,$E77,J$20:J$71)</f>
        <v>1</v>
      </c>
      <c r="K77" s="1">
        <f>SUMIF($B$20:$B$71,$E77,K$20:K$71)</f>
        <v>4</v>
      </c>
      <c r="L77" s="1">
        <f>SUMIF($B$20:$B$71,$E77,L$20:L$71)</f>
        <v>4</v>
      </c>
      <c r="M77" s="1">
        <f>SUMIF($B$20:$B$71,$E77,M$20:M$71)</f>
        <v>4</v>
      </c>
      <c r="N77" s="1">
        <f>SUMIF($B$20:$B$71,$E77,N$20:N$71)</f>
        <v>4</v>
      </c>
      <c r="O77" s="1">
        <f>SUMIF($B$20:$B$71,$E77,O$20:O$71)</f>
        <v>4</v>
      </c>
      <c r="P77" s="1">
        <f>SUMIF($B$20:$B$71,$E77,P$20:P$71)</f>
        <v>4</v>
      </c>
      <c r="Q77" s="1">
        <f>SUMIF($B$20:$B$71,$E77,Q$20:Q$71)</f>
        <v>4.5</v>
      </c>
      <c r="R77" s="1">
        <f>SUMIF($B$20:$B$71,$E77,R$20:R$71)</f>
        <v>4.5</v>
      </c>
      <c r="S77" s="1">
        <f>SUMIF($B$20:$B$71,$E77,S$20:S$71)</f>
        <v>4.5</v>
      </c>
      <c r="T77" s="1">
        <f>SUMIF($B$20:$B$71,$E77,T$20:T$71)</f>
        <v>6.5</v>
      </c>
      <c r="U77" s="1">
        <f>SUMIF($B$20:$B$71,$E77,U$20:U$71)</f>
        <v>6.5</v>
      </c>
      <c r="V77" s="1">
        <f>SUMIF($B$20:$B$71,$E77,V$20:V$71)</f>
        <v>6.5</v>
      </c>
      <c r="W77" s="1">
        <f>SUMIF($B$20:$B$71,$E77,W$20:W$71)</f>
        <v>6</v>
      </c>
      <c r="X77" s="1">
        <f>SUMIF($B$20:$B$71,$E77,X$20:X$71)</f>
        <v>6</v>
      </c>
      <c r="Y77" s="1">
        <f>SUMIF($B$20:$B$71,$E77,Y$20:Y$71)</f>
        <v>5.5</v>
      </c>
      <c r="Z77" s="1">
        <f>SUMIF($B$20:$B$71,$E77,Z$20:Z$71)</f>
        <v>3.5</v>
      </c>
      <c r="AA77" s="1">
        <f>SUMIF($B$20:$B$71,$E77,AA$20:AA$71)</f>
        <v>3.5</v>
      </c>
      <c r="AB77" s="1">
        <f>SUMIF($B$20:$B$71,$E77,AB$20:AB$71)</f>
        <v>5.5</v>
      </c>
      <c r="AC77" s="1">
        <f>SUMIF($B$20:$B$71,$E77,AC$20:AC$71)</f>
        <v>3.5</v>
      </c>
      <c r="AD77" s="1">
        <f>SUMIF($B$20:$B$71,$E77,AD$20:AD$71)</f>
        <v>3.5</v>
      </c>
      <c r="AE77" s="1">
        <f>SUMIF($B$20:$B$71,$E77,AE$20:AE$71)</f>
        <v>5.5</v>
      </c>
      <c r="AF77" s="1">
        <f>SUMIF($B$20:$B$71,$E77,AF$20:AF$71)</f>
        <v>3.5</v>
      </c>
      <c r="AG77" s="1">
        <f>SUMIF($B$20:$B$71,$E77,AG$20:AG$71)</f>
        <v>3.5</v>
      </c>
      <c r="AH77" s="1">
        <f>SUMIF($B$20:$B$71,$E77,AH$20:AH$71)</f>
        <v>5.5</v>
      </c>
      <c r="AI77" s="1">
        <f>SUMIF($B$20:$B$71,$E77,AI$20:AI$71)</f>
        <v>3.5</v>
      </c>
      <c r="AJ77" s="1">
        <f>SUMIF($B$20:$B$71,$E77,AJ$20:AJ$71)</f>
        <v>3.5</v>
      </c>
      <c r="AK77" s="1">
        <f>SUMIF($B$20:$B$71,$E77,AK$20:AK$71)</f>
        <v>5.5</v>
      </c>
      <c r="AL77" s="1">
        <f>SUMIF($B$20:$B$71,$E77,AL$20:AL$71)</f>
        <v>3.5</v>
      </c>
      <c r="AM77" s="1">
        <f>SUMIF($B$20:$B$71,$E77,AM$20:AM$71)</f>
        <v>3.5</v>
      </c>
      <c r="AN77" s="1">
        <f>SUMIF($B$20:$B$71,$E77,AN$20:AN$71)</f>
        <v>5.5</v>
      </c>
      <c r="AO77" s="1">
        <f>SUMIF($B$20:$B$71,$E77,AO$20:AO$71)</f>
        <v>3.5</v>
      </c>
      <c r="AP77" s="1">
        <f>SUMIF($B$20:$B$71,$E77,AP$20:AP$71)</f>
        <v>3.5</v>
      </c>
      <c r="AQ77" s="1">
        <f>SUMIF($B$20:$B$71,$E77,AQ$20:AQ$71)</f>
        <v>5.5</v>
      </c>
      <c r="AR77" s="1">
        <f>SUMIF($B$20:$B$71,$E77,AR$20:AR$71)</f>
        <v>3.5</v>
      </c>
      <c r="AT77" s="4">
        <f t="shared" ref="AT77:AT84" si="20">SUM(G77:AR77)</f>
        <v>156.5</v>
      </c>
      <c r="AU77" s="4"/>
      <c r="AV77" s="4"/>
      <c r="AW77" s="4"/>
      <c r="AX77" s="4"/>
      <c r="AY77" s="4"/>
      <c r="AZ77" s="4"/>
      <c r="BA77" s="4"/>
      <c r="BB77" s="4"/>
    </row>
    <row r="78" spans="2:57" x14ac:dyDescent="0.25">
      <c r="B78" s="4"/>
      <c r="C78" s="4"/>
      <c r="D78" s="4"/>
      <c r="E78" s="18" t="s">
        <v>17</v>
      </c>
      <c r="G78" s="1">
        <f>SUMIF($B$20:$B$71,$E78,G$20:G$71)</f>
        <v>0.5</v>
      </c>
      <c r="H78" s="1">
        <f>SUMIF($B$20:$B$71,$E78,H$20:H$71)</f>
        <v>2</v>
      </c>
      <c r="I78" s="1">
        <f>SUMIF($B$20:$B$71,$E78,I$20:I$71)</f>
        <v>2</v>
      </c>
      <c r="J78" s="1">
        <f>SUMIF($B$20:$B$71,$E78,J$20:J$71)</f>
        <v>2</v>
      </c>
      <c r="K78" s="1">
        <f>SUMIF($B$20:$B$71,$E78,K$20:K$71)</f>
        <v>7.5</v>
      </c>
      <c r="L78" s="1">
        <f>SUMIF($B$20:$B$71,$E78,L$20:L$71)</f>
        <v>7.5</v>
      </c>
      <c r="M78" s="1">
        <f>SUMIF($B$20:$B$71,$E78,M$20:M$71)</f>
        <v>7.5</v>
      </c>
      <c r="N78" s="1">
        <f>SUMIF($B$20:$B$71,$E78,N$20:N$71)</f>
        <v>7.5</v>
      </c>
      <c r="O78" s="1">
        <f>SUMIF($B$20:$B$71,$E78,O$20:O$71)</f>
        <v>7.5</v>
      </c>
      <c r="P78" s="1">
        <f>SUMIF($B$20:$B$71,$E78,P$20:P$71)</f>
        <v>7.5</v>
      </c>
      <c r="Q78" s="1">
        <f>SUMIF($B$20:$B$71,$E78,Q$20:Q$71)</f>
        <v>7.5</v>
      </c>
      <c r="R78" s="1">
        <f>SUMIF($B$20:$B$71,$E78,R$20:R$71)</f>
        <v>7.5</v>
      </c>
      <c r="S78" s="1">
        <f>SUMIF($B$20:$B$71,$E78,S$20:S$71)</f>
        <v>7.5</v>
      </c>
      <c r="T78" s="1">
        <f>SUMIF($B$20:$B$71,$E78,T$20:T$71)</f>
        <v>9.5</v>
      </c>
      <c r="U78" s="1">
        <f>SUMIF($B$20:$B$71,$E78,U$20:U$71)</f>
        <v>9.5</v>
      </c>
      <c r="V78" s="1">
        <f>SUMIF($B$20:$B$71,$E78,V$20:V$71)</f>
        <v>9.5</v>
      </c>
      <c r="W78" s="1">
        <f>SUMIF($B$20:$B$71,$E78,W$20:W$71)</f>
        <v>10</v>
      </c>
      <c r="X78" s="1">
        <f>SUMIF($B$20:$B$71,$E78,X$20:X$71)</f>
        <v>10</v>
      </c>
      <c r="Y78" s="1">
        <f>SUMIF($B$20:$B$71,$E78,Y$20:Y$71)</f>
        <v>7.5</v>
      </c>
      <c r="Z78" s="1">
        <f>SUMIF($B$20:$B$71,$E78,Z$20:Z$71)</f>
        <v>7.5</v>
      </c>
      <c r="AA78" s="1">
        <f>SUMIF($B$20:$B$71,$E78,AA$20:AA$71)</f>
        <v>7.5</v>
      </c>
      <c r="AB78" s="1">
        <f>SUMIF($B$20:$B$71,$E78,AB$20:AB$71)</f>
        <v>3.5</v>
      </c>
      <c r="AC78" s="1">
        <f>SUMIF($B$20:$B$71,$E78,AC$20:AC$71)</f>
        <v>3.5</v>
      </c>
      <c r="AD78" s="1">
        <f>SUMIF($B$20:$B$71,$E78,AD$20:AD$71)</f>
        <v>3.5</v>
      </c>
      <c r="AE78" s="1">
        <f>SUMIF($B$20:$B$71,$E78,AE$20:AE$71)</f>
        <v>3.5</v>
      </c>
      <c r="AF78" s="1">
        <f>SUMIF($B$20:$B$71,$E78,AF$20:AF$71)</f>
        <v>3.5</v>
      </c>
      <c r="AG78" s="1">
        <f>SUMIF($B$20:$B$71,$E78,AG$20:AG$71)</f>
        <v>3.5</v>
      </c>
      <c r="AH78" s="1">
        <f>SUMIF($B$20:$B$71,$E78,AH$20:AH$71)</f>
        <v>3.5</v>
      </c>
      <c r="AI78" s="1">
        <f>SUMIF($B$20:$B$71,$E78,AI$20:AI$71)</f>
        <v>3.5</v>
      </c>
      <c r="AJ78" s="1">
        <f>SUMIF($B$20:$B$71,$E78,AJ$20:AJ$71)</f>
        <v>3.5</v>
      </c>
      <c r="AK78" s="1">
        <f>SUMIF($B$20:$B$71,$E78,AK$20:AK$71)</f>
        <v>3.5</v>
      </c>
      <c r="AL78" s="1">
        <f>SUMIF($B$20:$B$71,$E78,AL$20:AL$71)</f>
        <v>3.5</v>
      </c>
      <c r="AM78" s="1">
        <f>SUMIF($B$20:$B$71,$E78,AM$20:AM$71)</f>
        <v>3.5</v>
      </c>
      <c r="AN78" s="1">
        <f>SUMIF($B$20:$B$71,$E78,AN$20:AN$71)</f>
        <v>3.5</v>
      </c>
      <c r="AO78" s="1">
        <f>SUMIF($B$20:$B$71,$E78,AO$20:AO$71)</f>
        <v>3.5</v>
      </c>
      <c r="AP78" s="1">
        <f>SUMIF($B$20:$B$71,$E78,AP$20:AP$71)</f>
        <v>3.5</v>
      </c>
      <c r="AQ78" s="1">
        <f>SUMIF($B$20:$B$71,$E78,AQ$20:AQ$71)</f>
        <v>3.5</v>
      </c>
      <c r="AR78" s="1">
        <f>SUMIF($B$20:$B$71,$E78,AR$20:AR$71)</f>
        <v>3.5</v>
      </c>
      <c r="AT78" s="4">
        <f t="shared" si="20"/>
        <v>204.5</v>
      </c>
      <c r="AU78" s="4"/>
      <c r="AV78" s="4"/>
      <c r="AW78" s="4"/>
      <c r="AX78" s="4"/>
      <c r="AY78" s="4"/>
      <c r="AZ78" s="4"/>
      <c r="BA78" s="4"/>
      <c r="BB78" s="4"/>
    </row>
    <row r="79" spans="2:57" x14ac:dyDescent="0.25">
      <c r="B79" s="4"/>
      <c r="C79" s="4"/>
      <c r="D79" s="4"/>
      <c r="E79" s="18" t="s">
        <v>11</v>
      </c>
      <c r="G79" s="1">
        <f>SUMIF($B$20:$B$71,$E79,G$20:G$71)</f>
        <v>1</v>
      </c>
      <c r="H79" s="1">
        <f>SUMIF($B$20:$B$71,$E79,H$20:H$71)</f>
        <v>1</v>
      </c>
      <c r="I79" s="1">
        <f>SUMIF($B$20:$B$71,$E79,I$20:I$71)</f>
        <v>1</v>
      </c>
      <c r="J79" s="1">
        <f>SUMIF($B$20:$B$71,$E79,J$20:J$71)</f>
        <v>1</v>
      </c>
      <c r="K79" s="1">
        <f>SUMIF($B$20:$B$71,$E79,K$20:K$71)</f>
        <v>1.5</v>
      </c>
      <c r="L79" s="1">
        <f>SUMIF($B$20:$B$71,$E79,L$20:L$71)</f>
        <v>1.5</v>
      </c>
      <c r="M79" s="1">
        <f>SUMIF($B$20:$B$71,$E79,M$20:M$71)</f>
        <v>1.5</v>
      </c>
      <c r="N79" s="1">
        <f>SUMIF($B$20:$B$71,$E79,N$20:N$71)</f>
        <v>1.5</v>
      </c>
      <c r="O79" s="1">
        <f>SUMIF($B$20:$B$71,$E79,O$20:O$71)</f>
        <v>1.5</v>
      </c>
      <c r="P79" s="1">
        <f>SUMIF($B$20:$B$71,$E79,P$20:P$71)</f>
        <v>1.5</v>
      </c>
      <c r="Q79" s="1">
        <f>SUMIF($B$20:$B$71,$E79,Q$20:Q$71)</f>
        <v>2</v>
      </c>
      <c r="R79" s="1">
        <f>SUMIF($B$20:$B$71,$E79,R$20:R$71)</f>
        <v>2</v>
      </c>
      <c r="S79" s="1">
        <f>SUMIF($B$20:$B$71,$E79,S$20:S$71)</f>
        <v>2</v>
      </c>
      <c r="T79" s="1">
        <f>SUMIF($B$20:$B$71,$E79,T$20:T$71)</f>
        <v>3</v>
      </c>
      <c r="U79" s="1">
        <f>SUMIF($B$20:$B$71,$E79,U$20:U$71)</f>
        <v>3</v>
      </c>
      <c r="V79" s="1">
        <f>SUMIF($B$20:$B$71,$E79,V$20:V$71)</f>
        <v>3</v>
      </c>
      <c r="W79" s="1">
        <f>SUMIF($B$20:$B$71,$E79,W$20:W$71)</f>
        <v>4</v>
      </c>
      <c r="X79" s="1">
        <f>SUMIF($B$20:$B$71,$E79,X$20:X$71)</f>
        <v>4</v>
      </c>
      <c r="Y79" s="1">
        <f>SUMIF($B$20:$B$71,$E79,Y$20:Y$71)</f>
        <v>4</v>
      </c>
      <c r="Z79" s="1">
        <f>SUMIF($B$20:$B$71,$E79,Z$20:Z$71)</f>
        <v>4</v>
      </c>
      <c r="AA79" s="1">
        <f>SUMIF($B$20:$B$71,$E79,AA$20:AA$71)</f>
        <v>4</v>
      </c>
      <c r="AB79" s="1">
        <f>SUMIF($B$20:$B$71,$E79,AB$20:AB$71)</f>
        <v>3</v>
      </c>
      <c r="AC79" s="1">
        <f>SUMIF($B$20:$B$71,$E79,AC$20:AC$71)</f>
        <v>3</v>
      </c>
      <c r="AD79" s="1">
        <f>SUMIF($B$20:$B$71,$E79,AD$20:AD$71)</f>
        <v>3</v>
      </c>
      <c r="AE79" s="1">
        <f>SUMIF($B$20:$B$71,$E79,AE$20:AE$71)</f>
        <v>3</v>
      </c>
      <c r="AF79" s="1">
        <f>SUMIF($B$20:$B$71,$E79,AF$20:AF$71)</f>
        <v>3</v>
      </c>
      <c r="AG79" s="1">
        <f>SUMIF($B$20:$B$71,$E79,AG$20:AG$71)</f>
        <v>3</v>
      </c>
      <c r="AH79" s="1">
        <f>SUMIF($B$20:$B$71,$E79,AH$20:AH$71)</f>
        <v>3</v>
      </c>
      <c r="AI79" s="1">
        <f>SUMIF($B$20:$B$71,$E79,AI$20:AI$71)</f>
        <v>3</v>
      </c>
      <c r="AJ79" s="1">
        <f>SUMIF($B$20:$B$71,$E79,AJ$20:AJ$71)</f>
        <v>3</v>
      </c>
      <c r="AK79" s="1">
        <f>SUMIF($B$20:$B$71,$E79,AK$20:AK$71)</f>
        <v>3</v>
      </c>
      <c r="AL79" s="1">
        <f>SUMIF($B$20:$B$71,$E79,AL$20:AL$71)</f>
        <v>3</v>
      </c>
      <c r="AM79" s="1">
        <f>SUMIF($B$20:$B$71,$E79,AM$20:AM$71)</f>
        <v>3</v>
      </c>
      <c r="AN79" s="1">
        <f>SUMIF($B$20:$B$71,$E79,AN$20:AN$71)</f>
        <v>3</v>
      </c>
      <c r="AO79" s="1">
        <f>SUMIF($B$20:$B$71,$E79,AO$20:AO$71)</f>
        <v>3</v>
      </c>
      <c r="AP79" s="1">
        <f>SUMIF($B$20:$B$71,$E79,AP$20:AP$71)</f>
        <v>3</v>
      </c>
      <c r="AQ79" s="1">
        <f>SUMIF($B$20:$B$71,$E79,AQ$20:AQ$71)</f>
        <v>3</v>
      </c>
      <c r="AR79" s="1">
        <f>SUMIF($B$20:$B$71,$E79,AR$20:AR$71)</f>
        <v>3</v>
      </c>
      <c r="AT79" s="4">
        <f t="shared" si="20"/>
        <v>99</v>
      </c>
      <c r="AU79" s="4"/>
      <c r="AV79" s="4"/>
      <c r="AW79" s="4"/>
      <c r="AX79" s="4"/>
      <c r="AY79" s="4"/>
      <c r="AZ79" s="4"/>
      <c r="BA79" s="4"/>
      <c r="BB79" s="4"/>
    </row>
    <row r="80" spans="2:57" x14ac:dyDescent="0.25">
      <c r="B80" s="4"/>
      <c r="C80" s="4"/>
      <c r="D80" s="4"/>
      <c r="E80" s="18" t="s">
        <v>19</v>
      </c>
      <c r="G80" s="1">
        <f>SUMIF($B$20:$B$71,$E80,G$20:G$71)</f>
        <v>1</v>
      </c>
      <c r="H80" s="1">
        <f>SUMIF($B$20:$B$71,$E80,H$20:H$71)</f>
        <v>4</v>
      </c>
      <c r="I80" s="1">
        <f>SUMIF($B$20:$B$71,$E80,I$20:I$71)</f>
        <v>4</v>
      </c>
      <c r="J80" s="1">
        <f>SUMIF($B$20:$B$71,$E80,J$20:J$71)</f>
        <v>4</v>
      </c>
      <c r="K80" s="1">
        <f>SUMIF($B$20:$B$71,$E80,K$20:K$71)</f>
        <v>6</v>
      </c>
      <c r="L80" s="1">
        <f>SUMIF($B$20:$B$71,$E80,L$20:L$71)</f>
        <v>6</v>
      </c>
      <c r="M80" s="1">
        <f>SUMIF($B$20:$B$71,$E80,M$20:M$71)</f>
        <v>6</v>
      </c>
      <c r="N80" s="1">
        <f>SUMIF($B$20:$B$71,$E80,N$20:N$71)</f>
        <v>6</v>
      </c>
      <c r="O80" s="1">
        <f>SUMIF($B$20:$B$71,$E80,O$20:O$71)</f>
        <v>6</v>
      </c>
      <c r="P80" s="1">
        <f>SUMIF($B$20:$B$71,$E80,P$20:P$71)</f>
        <v>6</v>
      </c>
      <c r="Q80" s="1">
        <f>SUMIF($B$20:$B$71,$E80,Q$20:Q$71)</f>
        <v>7.5</v>
      </c>
      <c r="R80" s="1">
        <f>SUMIF($B$20:$B$71,$E80,R$20:R$71)</f>
        <v>7.5</v>
      </c>
      <c r="S80" s="1">
        <f>SUMIF($B$20:$B$71,$E80,S$20:S$71)</f>
        <v>7.5</v>
      </c>
      <c r="T80" s="1">
        <f>SUMIF($B$20:$B$71,$E80,T$20:T$71)</f>
        <v>8.5</v>
      </c>
      <c r="U80" s="1">
        <f>SUMIF($B$20:$B$71,$E80,U$20:U$71)</f>
        <v>8.5</v>
      </c>
      <c r="V80" s="1">
        <f>SUMIF($B$20:$B$71,$E80,V$20:V$71)</f>
        <v>8.5</v>
      </c>
      <c r="W80" s="1">
        <f>SUMIF($B$20:$B$71,$E80,W$20:W$71)</f>
        <v>9.5</v>
      </c>
      <c r="X80" s="1">
        <f>SUMIF($B$20:$B$71,$E80,X$20:X$71)</f>
        <v>9.5</v>
      </c>
      <c r="Y80" s="1">
        <f>SUMIF($B$20:$B$71,$E80,Y$20:Y$71)</f>
        <v>8</v>
      </c>
      <c r="Z80" s="1">
        <f>SUMIF($B$20:$B$71,$E80,Z$20:Z$71)</f>
        <v>8</v>
      </c>
      <c r="AA80" s="1">
        <f>SUMIF($B$20:$B$71,$E80,AA$20:AA$71)</f>
        <v>8</v>
      </c>
      <c r="AB80" s="1">
        <f>SUMIF($B$20:$B$71,$E80,AB$20:AB$71)</f>
        <v>6.5</v>
      </c>
      <c r="AC80" s="1">
        <f>SUMIF($B$20:$B$71,$E80,AC$20:AC$71)</f>
        <v>6.5</v>
      </c>
      <c r="AD80" s="1">
        <f>SUMIF($B$20:$B$71,$E80,AD$20:AD$71)</f>
        <v>6.5</v>
      </c>
      <c r="AE80" s="1">
        <f>SUMIF($B$20:$B$71,$E80,AE$20:AE$71)</f>
        <v>6.5</v>
      </c>
      <c r="AF80" s="1">
        <f>SUMIF($B$20:$B$71,$E80,AF$20:AF$71)</f>
        <v>6.5</v>
      </c>
      <c r="AG80" s="1">
        <f>SUMIF($B$20:$B$71,$E80,AG$20:AG$71)</f>
        <v>6.5</v>
      </c>
      <c r="AH80" s="1">
        <f>SUMIF($B$20:$B$71,$E80,AH$20:AH$71)</f>
        <v>6.5</v>
      </c>
      <c r="AI80" s="1">
        <f>SUMIF($B$20:$B$71,$E80,AI$20:AI$71)</f>
        <v>6.5</v>
      </c>
      <c r="AJ80" s="1">
        <f>SUMIF($B$20:$B$71,$E80,AJ$20:AJ$71)</f>
        <v>6.5</v>
      </c>
      <c r="AK80" s="1">
        <f>SUMIF($B$20:$B$71,$E80,AK$20:AK$71)</f>
        <v>6.5</v>
      </c>
      <c r="AL80" s="1">
        <f>SUMIF($B$20:$B$71,$E80,AL$20:AL$71)</f>
        <v>6.5</v>
      </c>
      <c r="AM80" s="1">
        <f>SUMIF($B$20:$B$71,$E80,AM$20:AM$71)</f>
        <v>6.5</v>
      </c>
      <c r="AN80" s="1">
        <f>SUMIF($B$20:$B$71,$E80,AN$20:AN$71)</f>
        <v>6.5</v>
      </c>
      <c r="AO80" s="1">
        <f>SUMIF($B$20:$B$71,$E80,AO$20:AO$71)</f>
        <v>6.5</v>
      </c>
      <c r="AP80" s="1">
        <f>SUMIF($B$20:$B$71,$E80,AP$20:AP$71)</f>
        <v>6.5</v>
      </c>
      <c r="AQ80" s="1">
        <f>SUMIF($B$20:$B$71,$E80,AQ$20:AQ$71)</f>
        <v>6.5</v>
      </c>
      <c r="AR80" s="1">
        <f>SUMIF($B$20:$B$71,$E80,AR$20:AR$71)</f>
        <v>6.5</v>
      </c>
      <c r="AT80" s="4">
        <f t="shared" si="20"/>
        <v>250.5</v>
      </c>
      <c r="AU80" s="4"/>
      <c r="AV80" s="4"/>
      <c r="AW80" s="4"/>
      <c r="AX80" s="4"/>
      <c r="AY80" s="4"/>
      <c r="AZ80" s="4"/>
      <c r="BA80" s="4"/>
      <c r="BB80" s="4"/>
    </row>
    <row r="81" spans="2:54" x14ac:dyDescent="0.25">
      <c r="B81" s="4"/>
      <c r="C81" s="4"/>
      <c r="D81" s="4"/>
      <c r="E81" s="18" t="s">
        <v>20</v>
      </c>
      <c r="G81" s="1">
        <f>SUMIF($B$20:$B$71,$E81,G$20:G$71)</f>
        <v>0</v>
      </c>
      <c r="H81" s="1">
        <f>SUMIF($B$20:$B$71,$E81,H$20:H$71)</f>
        <v>0</v>
      </c>
      <c r="I81" s="1">
        <f>SUMIF($B$20:$B$71,$E81,I$20:I$71)</f>
        <v>0</v>
      </c>
      <c r="J81" s="1">
        <f>SUMIF($B$20:$B$71,$E81,J$20:J$71)</f>
        <v>0</v>
      </c>
      <c r="K81" s="1">
        <f>SUMIF($B$20:$B$71,$E81,K$20:K$71)</f>
        <v>1</v>
      </c>
      <c r="L81" s="1">
        <f>SUMIF($B$20:$B$71,$E81,L$20:L$71)</f>
        <v>1</v>
      </c>
      <c r="M81" s="1">
        <f>SUMIF($B$20:$B$71,$E81,M$20:M$71)</f>
        <v>1</v>
      </c>
      <c r="N81" s="1">
        <f>SUMIF($B$20:$B$71,$E81,N$20:N$71)</f>
        <v>1</v>
      </c>
      <c r="O81" s="1">
        <f>SUMIF($B$20:$B$71,$E81,O$20:O$71)</f>
        <v>1</v>
      </c>
      <c r="P81" s="1">
        <f>SUMIF($B$20:$B$71,$E81,P$20:P$71)</f>
        <v>1</v>
      </c>
      <c r="Q81" s="1">
        <f>SUMIF($B$20:$B$71,$E81,Q$20:Q$71)</f>
        <v>1.5</v>
      </c>
      <c r="R81" s="1">
        <f>SUMIF($B$20:$B$71,$E81,R$20:R$71)</f>
        <v>1.5</v>
      </c>
      <c r="S81" s="1">
        <f>SUMIF($B$20:$B$71,$E81,S$20:S$71)</f>
        <v>1.5</v>
      </c>
      <c r="T81" s="1">
        <f>SUMIF($B$20:$B$71,$E81,T$20:T$71)</f>
        <v>1.5</v>
      </c>
      <c r="U81" s="1">
        <f>SUMIF($B$20:$B$71,$E81,U$20:U$71)</f>
        <v>1.5</v>
      </c>
      <c r="V81" s="1">
        <f>SUMIF($B$20:$B$71,$E81,V$20:V$71)</f>
        <v>1.5</v>
      </c>
      <c r="W81" s="1">
        <f>SUMIF($B$20:$B$71,$E81,W$20:W$71)</f>
        <v>1.5</v>
      </c>
      <c r="X81" s="1">
        <f>SUMIF($B$20:$B$71,$E81,X$20:X$71)</f>
        <v>1.5</v>
      </c>
      <c r="Y81" s="1">
        <f>SUMIF($B$20:$B$71,$E81,Y$20:Y$71)</f>
        <v>1</v>
      </c>
      <c r="Z81" s="1">
        <f>SUMIF($B$20:$B$71,$E81,Z$20:Z$71)</f>
        <v>1</v>
      </c>
      <c r="AA81" s="1">
        <f>SUMIF($B$20:$B$71,$E81,AA$20:AA$71)</f>
        <v>1</v>
      </c>
      <c r="AB81" s="1">
        <f>SUMIF($B$20:$B$71,$E81,AB$20:AB$71)</f>
        <v>1</v>
      </c>
      <c r="AC81" s="1">
        <f>SUMIF($B$20:$B$71,$E81,AC$20:AC$71)</f>
        <v>1</v>
      </c>
      <c r="AD81" s="1">
        <f>SUMIF($B$20:$B$71,$E81,AD$20:AD$71)</f>
        <v>1</v>
      </c>
      <c r="AE81" s="1">
        <f>SUMIF($B$20:$B$71,$E81,AE$20:AE$71)</f>
        <v>1</v>
      </c>
      <c r="AF81" s="1">
        <f>SUMIF($B$20:$B$71,$E81,AF$20:AF$71)</f>
        <v>1</v>
      </c>
      <c r="AG81" s="1">
        <f>SUMIF($B$20:$B$71,$E81,AG$20:AG$71)</f>
        <v>1</v>
      </c>
      <c r="AH81" s="1">
        <f>SUMIF($B$20:$B$71,$E81,AH$20:AH$71)</f>
        <v>1</v>
      </c>
      <c r="AI81" s="1">
        <f>SUMIF($B$20:$B$71,$E81,AI$20:AI$71)</f>
        <v>1</v>
      </c>
      <c r="AJ81" s="1">
        <f>SUMIF($B$20:$B$71,$E81,AJ$20:AJ$71)</f>
        <v>1</v>
      </c>
      <c r="AK81" s="1">
        <f>SUMIF($B$20:$B$71,$E81,AK$20:AK$71)</f>
        <v>1</v>
      </c>
      <c r="AL81" s="1">
        <f>SUMIF($B$20:$B$71,$E81,AL$20:AL$71)</f>
        <v>1</v>
      </c>
      <c r="AM81" s="1">
        <f>SUMIF($B$20:$B$71,$E81,AM$20:AM$71)</f>
        <v>1</v>
      </c>
      <c r="AN81" s="1">
        <f>SUMIF($B$20:$B$71,$E81,AN$20:AN$71)</f>
        <v>1</v>
      </c>
      <c r="AO81" s="1">
        <f>SUMIF($B$20:$B$71,$E81,AO$20:AO$71)</f>
        <v>1</v>
      </c>
      <c r="AP81" s="1">
        <f>SUMIF($B$20:$B$71,$E81,AP$20:AP$71)</f>
        <v>1</v>
      </c>
      <c r="AQ81" s="1">
        <f>SUMIF($B$20:$B$71,$E81,AQ$20:AQ$71)</f>
        <v>1</v>
      </c>
      <c r="AR81" s="1">
        <f>SUMIF($B$20:$B$71,$E81,AR$20:AR$71)</f>
        <v>1</v>
      </c>
      <c r="AT81" s="4">
        <f t="shared" si="20"/>
        <v>38</v>
      </c>
      <c r="AU81" s="4"/>
      <c r="AV81" s="4"/>
      <c r="AW81" s="4"/>
      <c r="AX81" s="4"/>
      <c r="AY81" s="4"/>
      <c r="AZ81" s="4"/>
      <c r="BA81" s="4"/>
      <c r="BB81" s="4"/>
    </row>
    <row r="82" spans="2:54" x14ac:dyDescent="0.25">
      <c r="B82" s="4"/>
      <c r="C82" s="4"/>
      <c r="D82" s="4"/>
      <c r="E82" s="18" t="s">
        <v>21</v>
      </c>
      <c r="G82" s="1">
        <f>SUMIF($B$20:$B$71,$E82,G$20:G$71)</f>
        <v>0</v>
      </c>
      <c r="H82" s="1">
        <f>SUMIF($B$20:$B$71,$E82,H$20:H$71)</f>
        <v>0</v>
      </c>
      <c r="I82" s="1">
        <f>SUMIF($B$20:$B$71,$E82,I$20:I$71)</f>
        <v>0</v>
      </c>
      <c r="J82" s="1">
        <f>SUMIF($B$20:$B$71,$E82,J$20:J$71)</f>
        <v>0</v>
      </c>
      <c r="K82" s="1">
        <f>SUMIF($B$20:$B$71,$E82,K$20:K$71)</f>
        <v>1</v>
      </c>
      <c r="L82" s="1">
        <f>SUMIF($B$20:$B$71,$E82,L$20:L$71)</f>
        <v>1</v>
      </c>
      <c r="M82" s="1">
        <f>SUMIF($B$20:$B$71,$E82,M$20:M$71)</f>
        <v>1</v>
      </c>
      <c r="N82" s="1">
        <f>SUMIF($B$20:$B$71,$E82,N$20:N$71)</f>
        <v>1</v>
      </c>
      <c r="O82" s="1">
        <f>SUMIF($B$20:$B$71,$E82,O$20:O$71)</f>
        <v>1</v>
      </c>
      <c r="P82" s="1">
        <f>SUMIF($B$20:$B$71,$E82,P$20:P$71)</f>
        <v>1</v>
      </c>
      <c r="Q82" s="1">
        <f>SUMIF($B$20:$B$71,$E82,Q$20:Q$71)</f>
        <v>1</v>
      </c>
      <c r="R82" s="1">
        <f>SUMIF($B$20:$B$71,$E82,R$20:R$71)</f>
        <v>1</v>
      </c>
      <c r="S82" s="1">
        <f>SUMIF($B$20:$B$71,$E82,S$20:S$71)</f>
        <v>1</v>
      </c>
      <c r="T82" s="1">
        <f>SUMIF($B$20:$B$71,$E82,T$20:T$71)</f>
        <v>1.5</v>
      </c>
      <c r="U82" s="1">
        <f>SUMIF($B$20:$B$71,$E82,U$20:U$71)</f>
        <v>1.5</v>
      </c>
      <c r="V82" s="1">
        <f>SUMIF($B$20:$B$71,$E82,V$20:V$71)</f>
        <v>1.5</v>
      </c>
      <c r="W82" s="1">
        <f>SUMIF($B$20:$B$71,$E82,W$20:W$71)</f>
        <v>2</v>
      </c>
      <c r="X82" s="1">
        <f>SUMIF($B$20:$B$71,$E82,X$20:X$71)</f>
        <v>2</v>
      </c>
      <c r="Y82" s="1">
        <f>SUMIF($B$20:$B$71,$E82,Y$20:Y$71)</f>
        <v>1.5</v>
      </c>
      <c r="Z82" s="1">
        <f>SUMIF($B$20:$B$71,$E82,Z$20:Z$71)</f>
        <v>1.5</v>
      </c>
      <c r="AA82" s="1">
        <f>SUMIF($B$20:$B$71,$E82,AA$20:AA$71)</f>
        <v>1.5</v>
      </c>
      <c r="AB82" s="1">
        <f>SUMIF($B$20:$B$71,$E82,AB$20:AB$71)</f>
        <v>1</v>
      </c>
      <c r="AC82" s="1">
        <f>SUMIF($B$20:$B$71,$E82,AC$20:AC$71)</f>
        <v>1</v>
      </c>
      <c r="AD82" s="1">
        <f>SUMIF($B$20:$B$71,$E82,AD$20:AD$71)</f>
        <v>1</v>
      </c>
      <c r="AE82" s="1">
        <f>SUMIF($B$20:$B$71,$E82,AE$20:AE$71)</f>
        <v>1</v>
      </c>
      <c r="AF82" s="1">
        <f>SUMIF($B$20:$B$71,$E82,AF$20:AF$71)</f>
        <v>1</v>
      </c>
      <c r="AG82" s="1">
        <f>SUMIF($B$20:$B$71,$E82,AG$20:AG$71)</f>
        <v>1</v>
      </c>
      <c r="AH82" s="1">
        <f>SUMIF($B$20:$B$71,$E82,AH$20:AH$71)</f>
        <v>1</v>
      </c>
      <c r="AI82" s="1">
        <f>SUMIF($B$20:$B$71,$E82,AI$20:AI$71)</f>
        <v>1</v>
      </c>
      <c r="AJ82" s="1">
        <f>SUMIF($B$20:$B$71,$E82,AJ$20:AJ$71)</f>
        <v>1</v>
      </c>
      <c r="AK82" s="1">
        <f>SUMIF($B$20:$B$71,$E82,AK$20:AK$71)</f>
        <v>1</v>
      </c>
      <c r="AL82" s="1">
        <f>SUMIF($B$20:$B$71,$E82,AL$20:AL$71)</f>
        <v>1</v>
      </c>
      <c r="AM82" s="1">
        <f>SUMIF($B$20:$B$71,$E82,AM$20:AM$71)</f>
        <v>1</v>
      </c>
      <c r="AN82" s="1">
        <f>SUMIF($B$20:$B$71,$E82,AN$20:AN$71)</f>
        <v>1</v>
      </c>
      <c r="AO82" s="1">
        <f>SUMIF($B$20:$B$71,$E82,AO$20:AO$71)</f>
        <v>1</v>
      </c>
      <c r="AP82" s="1">
        <f>SUMIF($B$20:$B$71,$E82,AP$20:AP$71)</f>
        <v>1</v>
      </c>
      <c r="AQ82" s="1">
        <f>SUMIF($B$20:$B$71,$E82,AQ$20:AQ$71)</f>
        <v>1</v>
      </c>
      <c r="AR82" s="1">
        <f>SUMIF($B$20:$B$71,$E82,AR$20:AR$71)</f>
        <v>1</v>
      </c>
      <c r="AT82" s="4">
        <f t="shared" si="20"/>
        <v>39</v>
      </c>
      <c r="AU82" s="4"/>
      <c r="AV82" s="4"/>
      <c r="AW82" s="4"/>
      <c r="AX82" s="4"/>
      <c r="AY82" s="4"/>
      <c r="AZ82" s="4"/>
      <c r="BA82" s="4"/>
      <c r="BB82" s="4"/>
    </row>
    <row r="83" spans="2:54" x14ac:dyDescent="0.25">
      <c r="B83" s="4"/>
      <c r="C83" s="4"/>
      <c r="D83" s="4"/>
      <c r="E83" s="18" t="s">
        <v>22</v>
      </c>
      <c r="G83" s="1">
        <f>SUMIF($B$20:$B$71,$E83,G$20:G$71)</f>
        <v>0</v>
      </c>
      <c r="H83" s="1">
        <f>SUMIF($B$20:$B$71,$E83,H$20:H$71)</f>
        <v>0</v>
      </c>
      <c r="I83" s="1">
        <f>SUMIF($B$20:$B$71,$E83,I$20:I$71)</f>
        <v>0</v>
      </c>
      <c r="J83" s="1">
        <f>SUMIF($B$20:$B$71,$E83,J$20:J$71)</f>
        <v>0</v>
      </c>
      <c r="K83" s="1">
        <f>SUMIF($B$20:$B$71,$E83,K$20:K$71)</f>
        <v>0</v>
      </c>
      <c r="L83" s="1">
        <f>SUMIF($B$20:$B$71,$E83,L$20:L$71)</f>
        <v>0</v>
      </c>
      <c r="M83" s="1">
        <f>SUMIF($B$20:$B$71,$E83,M$20:M$71)</f>
        <v>0</v>
      </c>
      <c r="N83" s="1">
        <f>SUMIF($B$20:$B$71,$E83,N$20:N$71)</f>
        <v>0</v>
      </c>
      <c r="O83" s="1">
        <f>SUMIF($B$20:$B$71,$E83,O$20:O$71)</f>
        <v>0</v>
      </c>
      <c r="P83" s="1">
        <f>SUMIF($B$20:$B$71,$E83,P$20:P$71)</f>
        <v>0</v>
      </c>
      <c r="Q83" s="1">
        <f>SUMIF($B$20:$B$71,$E83,Q$20:Q$71)</f>
        <v>0</v>
      </c>
      <c r="R83" s="1">
        <f>SUMIF($B$20:$B$71,$E83,R$20:R$71)</f>
        <v>0</v>
      </c>
      <c r="S83" s="1">
        <f>SUMIF($B$20:$B$71,$E83,S$20:S$71)</f>
        <v>0</v>
      </c>
      <c r="T83" s="1">
        <f>SUMIF($B$20:$B$71,$E83,T$20:T$71)</f>
        <v>3</v>
      </c>
      <c r="U83" s="1">
        <f>SUMIF($B$20:$B$71,$E83,U$20:U$71)</f>
        <v>3</v>
      </c>
      <c r="V83" s="1">
        <f>SUMIF($B$20:$B$71,$E83,V$20:V$71)</f>
        <v>3</v>
      </c>
      <c r="W83" s="1">
        <f>SUMIF($B$20:$B$71,$E83,W$20:W$71)</f>
        <v>0</v>
      </c>
      <c r="X83" s="1">
        <f>SUMIF($B$20:$B$71,$E83,X$20:X$71)</f>
        <v>0</v>
      </c>
      <c r="Y83" s="1">
        <f>SUMIF($B$20:$B$71,$E83,Y$20:Y$71)</f>
        <v>3</v>
      </c>
      <c r="Z83" s="1">
        <f>SUMIF($B$20:$B$71,$E83,Z$20:Z$71)</f>
        <v>0</v>
      </c>
      <c r="AA83" s="1">
        <f>SUMIF($B$20:$B$71,$E83,AA$20:AA$71)</f>
        <v>0</v>
      </c>
      <c r="AB83" s="1">
        <f>SUMIF($B$20:$B$71,$E83,AB$20:AB$71)</f>
        <v>3</v>
      </c>
      <c r="AC83" s="1">
        <f>SUMIF($B$20:$B$71,$E83,AC$20:AC$71)</f>
        <v>0</v>
      </c>
      <c r="AD83" s="1">
        <f>SUMIF($B$20:$B$71,$E83,AD$20:AD$71)</f>
        <v>0</v>
      </c>
      <c r="AE83" s="1">
        <f>SUMIF($B$20:$B$71,$E83,AE$20:AE$71)</f>
        <v>3</v>
      </c>
      <c r="AF83" s="1">
        <f>SUMIF($B$20:$B$71,$E83,AF$20:AF$71)</f>
        <v>0</v>
      </c>
      <c r="AG83" s="1">
        <f>SUMIF($B$20:$B$71,$E83,AG$20:AG$71)</f>
        <v>0</v>
      </c>
      <c r="AH83" s="1">
        <f>SUMIF($B$20:$B$71,$E83,AH$20:AH$71)</f>
        <v>3</v>
      </c>
      <c r="AI83" s="1">
        <f>SUMIF($B$20:$B$71,$E83,AI$20:AI$71)</f>
        <v>0</v>
      </c>
      <c r="AJ83" s="1">
        <f>SUMIF($B$20:$B$71,$E83,AJ$20:AJ$71)</f>
        <v>0</v>
      </c>
      <c r="AK83" s="1">
        <f>SUMIF($B$20:$B$71,$E83,AK$20:AK$71)</f>
        <v>3</v>
      </c>
      <c r="AL83" s="1">
        <f>SUMIF($B$20:$B$71,$E83,AL$20:AL$71)</f>
        <v>0</v>
      </c>
      <c r="AM83" s="1">
        <f>SUMIF($B$20:$B$71,$E83,AM$20:AM$71)</f>
        <v>0</v>
      </c>
      <c r="AN83" s="1">
        <f>SUMIF($B$20:$B$71,$E83,AN$20:AN$71)</f>
        <v>3</v>
      </c>
      <c r="AO83" s="1">
        <f>SUMIF($B$20:$B$71,$E83,AO$20:AO$71)</f>
        <v>0</v>
      </c>
      <c r="AP83" s="1">
        <f>SUMIF($B$20:$B$71,$E83,AP$20:AP$71)</f>
        <v>0</v>
      </c>
      <c r="AQ83" s="1">
        <f>SUMIF($B$20:$B$71,$E83,AQ$20:AQ$71)</f>
        <v>3</v>
      </c>
      <c r="AR83" s="1">
        <f>SUMIF($B$20:$B$71,$E83,AR$20:AR$71)</f>
        <v>0</v>
      </c>
      <c r="AT83" s="4">
        <f t="shared" si="20"/>
        <v>30</v>
      </c>
      <c r="AU83" s="4"/>
      <c r="AV83" s="4"/>
      <c r="AW83" s="4"/>
      <c r="AX83" s="4"/>
      <c r="AY83" s="4"/>
      <c r="AZ83" s="4"/>
      <c r="BA83" s="4"/>
      <c r="BB83" s="4"/>
    </row>
    <row r="84" spans="2:54" x14ac:dyDescent="0.25">
      <c r="B84" s="4"/>
      <c r="C84" s="4"/>
      <c r="D84" s="4"/>
      <c r="E84" s="18" t="s">
        <v>23</v>
      </c>
      <c r="G84" s="1">
        <f>SUMIF($B$20:$B$71,$E84,G$20:G$71)</f>
        <v>0</v>
      </c>
      <c r="H84" s="1">
        <f>SUMIF($B$20:$B$71,$E84,H$20:H$71)</f>
        <v>1</v>
      </c>
      <c r="I84" s="1">
        <f>SUMIF($B$20:$B$71,$E84,I$20:I$71)</f>
        <v>1</v>
      </c>
      <c r="J84" s="1">
        <f>SUMIF($B$20:$B$71,$E84,J$20:J$71)</f>
        <v>1</v>
      </c>
      <c r="K84" s="1">
        <f>SUMIF($B$20:$B$71,$E84,K$20:K$71)</f>
        <v>2.5</v>
      </c>
      <c r="L84" s="1">
        <f>SUMIF($B$20:$B$71,$E84,L$20:L$71)</f>
        <v>2.5</v>
      </c>
      <c r="M84" s="1">
        <f>SUMIF($B$20:$B$71,$E84,M$20:M$71)</f>
        <v>2.5</v>
      </c>
      <c r="N84" s="1">
        <f>SUMIF($B$20:$B$71,$E84,N$20:N$71)</f>
        <v>2.5</v>
      </c>
      <c r="O84" s="1">
        <f>SUMIF($B$20:$B$71,$E84,O$20:O$71)</f>
        <v>2.5</v>
      </c>
      <c r="P84" s="1">
        <f>SUMIF($B$20:$B$71,$E84,P$20:P$71)</f>
        <v>2.5</v>
      </c>
      <c r="Q84" s="1">
        <f>SUMIF($B$20:$B$71,$E84,Q$20:Q$71)</f>
        <v>4</v>
      </c>
      <c r="R84" s="1">
        <f>SUMIF($B$20:$B$71,$E84,R$20:R$71)</f>
        <v>4</v>
      </c>
      <c r="S84" s="1">
        <f>SUMIF($B$20:$B$71,$E84,S$20:S$71)</f>
        <v>4</v>
      </c>
      <c r="T84" s="1">
        <f>SUMIF($B$20:$B$71,$E84,T$20:T$71)</f>
        <v>5</v>
      </c>
      <c r="U84" s="1">
        <f>SUMIF($B$20:$B$71,$E84,U$20:U$71)</f>
        <v>5</v>
      </c>
      <c r="V84" s="1">
        <f>SUMIF($B$20:$B$71,$E84,V$20:V$71)</f>
        <v>5</v>
      </c>
      <c r="W84" s="1">
        <f>SUMIF($B$20:$B$71,$E84,W$20:W$71)</f>
        <v>5</v>
      </c>
      <c r="X84" s="1">
        <f>SUMIF($B$20:$B$71,$E84,X$20:X$71)</f>
        <v>5</v>
      </c>
      <c r="Y84" s="1">
        <f>SUMIF($B$20:$B$71,$E84,Y$20:Y$71)</f>
        <v>5</v>
      </c>
      <c r="Z84" s="1">
        <f>SUMIF($B$20:$B$71,$E84,Z$20:Z$71)</f>
        <v>5</v>
      </c>
      <c r="AA84" s="1">
        <f>SUMIF($B$20:$B$71,$E84,AA$20:AA$71)</f>
        <v>5</v>
      </c>
      <c r="AB84" s="1">
        <f>SUMIF($B$20:$B$71,$E84,AB$20:AB$71)</f>
        <v>4</v>
      </c>
      <c r="AC84" s="1">
        <f>SUMIF($B$20:$B$71,$E84,AC$20:AC$71)</f>
        <v>4</v>
      </c>
      <c r="AD84" s="1">
        <f>SUMIF($B$20:$B$71,$E84,AD$20:AD$71)</f>
        <v>4</v>
      </c>
      <c r="AE84" s="1">
        <f>SUMIF($B$20:$B$71,$E84,AE$20:AE$71)</f>
        <v>4</v>
      </c>
      <c r="AF84" s="1">
        <f>SUMIF($B$20:$B$71,$E84,AF$20:AF$71)</f>
        <v>4</v>
      </c>
      <c r="AG84" s="1">
        <f>SUMIF($B$20:$B$71,$E84,AG$20:AG$71)</f>
        <v>4</v>
      </c>
      <c r="AH84" s="1">
        <f>SUMIF($B$20:$B$71,$E84,AH$20:AH$71)</f>
        <v>4</v>
      </c>
      <c r="AI84" s="1">
        <f>SUMIF($B$20:$B$71,$E84,AI$20:AI$71)</f>
        <v>4</v>
      </c>
      <c r="AJ84" s="1">
        <f>SUMIF($B$20:$B$71,$E84,AJ$20:AJ$71)</f>
        <v>4</v>
      </c>
      <c r="AK84" s="1">
        <f>SUMIF($B$20:$B$71,$E84,AK$20:AK$71)</f>
        <v>3.5</v>
      </c>
      <c r="AL84" s="1">
        <f>SUMIF($B$20:$B$71,$E84,AL$20:AL$71)</f>
        <v>3.5</v>
      </c>
      <c r="AM84" s="1">
        <f>SUMIF($B$20:$B$71,$E84,AM$20:AM$71)</f>
        <v>3.5</v>
      </c>
      <c r="AN84" s="1">
        <f>SUMIF($B$20:$B$71,$E84,AN$20:AN$71)</f>
        <v>3.5</v>
      </c>
      <c r="AO84" s="1">
        <f>SUMIF($B$20:$B$71,$E84,AO$20:AO$71)</f>
        <v>3.5</v>
      </c>
      <c r="AP84" s="1">
        <f>SUMIF($B$20:$B$71,$E84,AP$20:AP$71)</f>
        <v>3.5</v>
      </c>
      <c r="AQ84" s="1">
        <f>SUMIF($B$20:$B$71,$E84,AQ$20:AQ$71)</f>
        <v>3.5</v>
      </c>
      <c r="AR84" s="1">
        <f>SUMIF($B$20:$B$71,$E84,AR$20:AR$71)</f>
        <v>3.5</v>
      </c>
      <c r="AT84" s="4">
        <f t="shared" si="20"/>
        <v>134</v>
      </c>
      <c r="AU84" s="4"/>
      <c r="AV84" s="4"/>
      <c r="AW84" s="4"/>
      <c r="AX84" s="4"/>
      <c r="AY84" s="4"/>
      <c r="AZ84" s="4"/>
      <c r="BA84" s="4"/>
      <c r="BB84" s="4"/>
    </row>
    <row r="85" spans="2:54" ht="13" x14ac:dyDescent="0.3">
      <c r="B85" s="4"/>
      <c r="C85" s="4"/>
      <c r="D85" s="4"/>
      <c r="E85" s="4" t="s">
        <v>133</v>
      </c>
      <c r="F85" s="4"/>
      <c r="G85" s="2">
        <f t="shared" ref="G85:AR85" si="21">SUM(G77:G84)</f>
        <v>3</v>
      </c>
      <c r="H85" s="2">
        <f t="shared" si="21"/>
        <v>9</v>
      </c>
      <c r="I85" s="2">
        <f t="shared" si="21"/>
        <v>9</v>
      </c>
      <c r="J85" s="2">
        <f t="shared" si="21"/>
        <v>9</v>
      </c>
      <c r="K85" s="2">
        <f t="shared" si="21"/>
        <v>23.5</v>
      </c>
      <c r="L85" s="2">
        <f t="shared" si="21"/>
        <v>23.5</v>
      </c>
      <c r="M85" s="2">
        <f t="shared" si="21"/>
        <v>23.5</v>
      </c>
      <c r="N85" s="2">
        <f t="shared" si="21"/>
        <v>23.5</v>
      </c>
      <c r="O85" s="2">
        <f t="shared" si="21"/>
        <v>23.5</v>
      </c>
      <c r="P85" s="2">
        <f t="shared" si="21"/>
        <v>23.5</v>
      </c>
      <c r="Q85" s="2">
        <f t="shared" si="21"/>
        <v>28</v>
      </c>
      <c r="R85" s="2">
        <f t="shared" si="21"/>
        <v>28</v>
      </c>
      <c r="S85" s="2">
        <f t="shared" si="21"/>
        <v>28</v>
      </c>
      <c r="T85" s="2">
        <f t="shared" si="21"/>
        <v>38.5</v>
      </c>
      <c r="U85" s="2">
        <f t="shared" si="21"/>
        <v>38.5</v>
      </c>
      <c r="V85" s="2">
        <f t="shared" si="21"/>
        <v>38.5</v>
      </c>
      <c r="W85" s="2">
        <f t="shared" si="21"/>
        <v>38</v>
      </c>
      <c r="X85" s="2">
        <f t="shared" si="21"/>
        <v>38</v>
      </c>
      <c r="Y85" s="2">
        <f t="shared" si="21"/>
        <v>35.5</v>
      </c>
      <c r="Z85" s="2">
        <f t="shared" si="21"/>
        <v>30.5</v>
      </c>
      <c r="AA85" s="2">
        <f t="shared" si="21"/>
        <v>30.5</v>
      </c>
      <c r="AB85" s="2">
        <f t="shared" si="21"/>
        <v>27.5</v>
      </c>
      <c r="AC85" s="2">
        <f t="shared" si="21"/>
        <v>22.5</v>
      </c>
      <c r="AD85" s="2">
        <f t="shared" si="21"/>
        <v>22.5</v>
      </c>
      <c r="AE85" s="2">
        <f t="shared" si="21"/>
        <v>27.5</v>
      </c>
      <c r="AF85" s="2">
        <f t="shared" si="21"/>
        <v>22.5</v>
      </c>
      <c r="AG85" s="2">
        <f t="shared" si="21"/>
        <v>22.5</v>
      </c>
      <c r="AH85" s="2">
        <f t="shared" si="21"/>
        <v>27.5</v>
      </c>
      <c r="AI85" s="2">
        <f t="shared" si="21"/>
        <v>22.5</v>
      </c>
      <c r="AJ85" s="2">
        <f t="shared" si="21"/>
        <v>22.5</v>
      </c>
      <c r="AK85" s="2">
        <f t="shared" si="21"/>
        <v>27</v>
      </c>
      <c r="AL85" s="2">
        <f t="shared" si="21"/>
        <v>22</v>
      </c>
      <c r="AM85" s="2">
        <f t="shared" si="21"/>
        <v>22</v>
      </c>
      <c r="AN85" s="2">
        <f t="shared" si="21"/>
        <v>27</v>
      </c>
      <c r="AO85" s="2">
        <f t="shared" si="21"/>
        <v>22</v>
      </c>
      <c r="AP85" s="2">
        <f t="shared" si="21"/>
        <v>22</v>
      </c>
      <c r="AQ85" s="2">
        <f t="shared" si="21"/>
        <v>27</v>
      </c>
      <c r="AR85" s="2">
        <f t="shared" si="21"/>
        <v>22</v>
      </c>
      <c r="AS85" s="30"/>
      <c r="AT85" s="31">
        <f>SUM(AT77:AT84)</f>
        <v>951.5</v>
      </c>
      <c r="AU85" s="4"/>
      <c r="AV85" s="4"/>
      <c r="AW85" s="4"/>
      <c r="AX85" s="4"/>
      <c r="AY85" s="4"/>
      <c r="AZ85" s="4"/>
      <c r="BA85" s="4"/>
      <c r="BB85" s="4"/>
    </row>
    <row r="86" spans="2:54" x14ac:dyDescent="0.2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</row>
    <row r="87" spans="2:54" x14ac:dyDescent="0.25">
      <c r="B87" s="4"/>
      <c r="C87" s="4"/>
      <c r="D87" s="4"/>
      <c r="E87" s="4" t="s">
        <v>134</v>
      </c>
      <c r="F87" s="4"/>
      <c r="G87" s="4" t="s">
        <v>29</v>
      </c>
      <c r="H87" s="4" t="s">
        <v>30</v>
      </c>
      <c r="I87" s="4" t="s">
        <v>31</v>
      </c>
      <c r="J87" s="4" t="s">
        <v>32</v>
      </c>
      <c r="K87" s="4" t="s">
        <v>33</v>
      </c>
      <c r="L87" s="4" t="s">
        <v>34</v>
      </c>
      <c r="M87" s="4" t="s">
        <v>35</v>
      </c>
      <c r="N87" s="4" t="s">
        <v>36</v>
      </c>
      <c r="O87" s="4" t="s">
        <v>37</v>
      </c>
      <c r="P87" s="4" t="s">
        <v>38</v>
      </c>
      <c r="Q87" s="4" t="s">
        <v>39</v>
      </c>
      <c r="R87" s="4" t="s">
        <v>40</v>
      </c>
      <c r="S87" s="4" t="s">
        <v>29</v>
      </c>
      <c r="T87" s="4" t="s">
        <v>30</v>
      </c>
      <c r="U87" s="4" t="s">
        <v>31</v>
      </c>
      <c r="V87" s="4" t="s">
        <v>32</v>
      </c>
      <c r="W87" s="4" t="s">
        <v>33</v>
      </c>
      <c r="X87" s="4" t="s">
        <v>34</v>
      </c>
      <c r="Y87" s="4" t="s">
        <v>35</v>
      </c>
      <c r="Z87" s="4" t="s">
        <v>36</v>
      </c>
      <c r="AA87" s="4" t="s">
        <v>37</v>
      </c>
      <c r="AB87" s="4" t="s">
        <v>38</v>
      </c>
      <c r="AC87" s="4" t="s">
        <v>39</v>
      </c>
      <c r="AD87" s="4" t="s">
        <v>40</v>
      </c>
      <c r="AE87" s="4" t="s">
        <v>29</v>
      </c>
      <c r="AF87" s="4" t="s">
        <v>30</v>
      </c>
      <c r="AG87" s="4" t="s">
        <v>31</v>
      </c>
      <c r="AH87" s="4" t="s">
        <v>32</v>
      </c>
      <c r="AI87" s="4" t="s">
        <v>33</v>
      </c>
      <c r="AJ87" s="4" t="s">
        <v>34</v>
      </c>
      <c r="AK87" s="4" t="s">
        <v>35</v>
      </c>
      <c r="AL87" s="4" t="s">
        <v>36</v>
      </c>
      <c r="AM87" s="4" t="s">
        <v>37</v>
      </c>
      <c r="AN87" s="4" t="s">
        <v>38</v>
      </c>
      <c r="AO87" s="4" t="s">
        <v>39</v>
      </c>
      <c r="AP87" s="4" t="s">
        <v>40</v>
      </c>
      <c r="AQ87" s="4" t="s">
        <v>29</v>
      </c>
      <c r="AR87" s="4" t="s">
        <v>30</v>
      </c>
      <c r="AS87" s="4"/>
      <c r="AT87" s="4"/>
      <c r="AU87" s="4"/>
      <c r="AV87" s="4"/>
      <c r="AW87" s="4"/>
      <c r="AX87" s="4"/>
      <c r="AY87" s="4"/>
      <c r="AZ87" s="4"/>
      <c r="BA87" s="4"/>
      <c r="BB87" s="4"/>
    </row>
    <row r="88" spans="2:5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</row>
    <row r="89" spans="2:54" x14ac:dyDescent="0.2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</row>
    <row r="90" spans="2:54" x14ac:dyDescent="0.25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</row>
    <row r="91" spans="2:54" x14ac:dyDescent="0.2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</row>
    <row r="92" spans="2:54" x14ac:dyDescent="0.25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</row>
    <row r="93" spans="2:54" x14ac:dyDescent="0.25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</row>
    <row r="94" spans="2:54" x14ac:dyDescent="0.25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</row>
    <row r="95" spans="2:54" x14ac:dyDescent="0.2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</row>
    <row r="96" spans="2:54" x14ac:dyDescent="0.25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</row>
    <row r="97" spans="2:54" x14ac:dyDescent="0.2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</row>
    <row r="98" spans="2:54" x14ac:dyDescent="0.25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</row>
    <row r="99" spans="2:54" x14ac:dyDescent="0.2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</row>
    <row r="100" spans="2:54" x14ac:dyDescent="0.25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</row>
    <row r="101" spans="2:54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</row>
    <row r="102" spans="2:54" x14ac:dyDescent="0.2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</row>
    <row r="103" spans="2:54" x14ac:dyDescent="0.2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</row>
    <row r="104" spans="2:5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</row>
    <row r="105" spans="2:54" x14ac:dyDescent="0.2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</row>
    <row r="106" spans="2:54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</row>
    <row r="107" spans="2:54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</row>
    <row r="108" spans="2:54" x14ac:dyDescent="0.2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</row>
    <row r="109" spans="2:54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</row>
    <row r="110" spans="2:54" x14ac:dyDescent="0.25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</row>
    <row r="111" spans="2:54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</row>
    <row r="112" spans="2:54" x14ac:dyDescent="0.25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</row>
    <row r="113" spans="2:54" x14ac:dyDescent="0.2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</row>
    <row r="114" spans="2:54" x14ac:dyDescent="0.2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</row>
    <row r="115" spans="2:54" x14ac:dyDescent="0.2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</row>
    <row r="116" spans="2:54" x14ac:dyDescent="0.25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</row>
    <row r="117" spans="2:54" x14ac:dyDescent="0.2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</row>
    <row r="118" spans="2:54" x14ac:dyDescent="0.25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</row>
    <row r="119" spans="2:54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</row>
    <row r="120" spans="2:54" x14ac:dyDescent="0.25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</row>
    <row r="121" spans="2:5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</row>
    <row r="122" spans="2:54" x14ac:dyDescent="0.25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</row>
    <row r="123" spans="2:54" x14ac:dyDescent="0.2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</row>
    <row r="124" spans="2:54" x14ac:dyDescent="0.2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</row>
    <row r="125" spans="2:54" x14ac:dyDescent="0.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</row>
    <row r="126" spans="2:54" x14ac:dyDescent="0.25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</row>
    <row r="127" spans="2:54" x14ac:dyDescent="0.2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</row>
    <row r="128" spans="2:54" x14ac:dyDescent="0.2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</row>
    <row r="129" spans="2:54" x14ac:dyDescent="0.2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</row>
    <row r="130" spans="2:54" x14ac:dyDescent="0.25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</row>
    <row r="131" spans="2:54" x14ac:dyDescent="0.2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</row>
    <row r="132" spans="2:54" x14ac:dyDescent="0.25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</row>
    <row r="133" spans="2:54" x14ac:dyDescent="0.2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</row>
    <row r="134" spans="2:54" x14ac:dyDescent="0.25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</row>
    <row r="135" spans="2:54" x14ac:dyDescent="0.2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</row>
    <row r="136" spans="2:54" x14ac:dyDescent="0.25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</row>
    <row r="137" spans="2:5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</row>
    <row r="138" spans="2:54" x14ac:dyDescent="0.25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</row>
    <row r="139" spans="2:54" x14ac:dyDescent="0.2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</row>
    <row r="140" spans="2:54" x14ac:dyDescent="0.25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</row>
    <row r="141" spans="2:54" x14ac:dyDescent="0.2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</row>
    <row r="142" spans="2:54" x14ac:dyDescent="0.25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</row>
    <row r="143" spans="2:54" x14ac:dyDescent="0.25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</row>
    <row r="144" spans="2:54" x14ac:dyDescent="0.25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</row>
    <row r="145" spans="2:54" x14ac:dyDescent="0.2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</row>
    <row r="146" spans="2:54" x14ac:dyDescent="0.25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</row>
    <row r="147" spans="2:54" x14ac:dyDescent="0.25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</row>
    <row r="148" spans="2:54" x14ac:dyDescent="0.25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</row>
    <row r="149" spans="2:54" x14ac:dyDescent="0.25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</row>
    <row r="150" spans="2:54" x14ac:dyDescent="0.25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</row>
    <row r="151" spans="2:54" x14ac:dyDescent="0.25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</row>
    <row r="152" spans="2:54" x14ac:dyDescent="0.25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</row>
    <row r="153" spans="2:5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</row>
    <row r="154" spans="2:54" x14ac:dyDescent="0.25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</row>
    <row r="155" spans="2:54" x14ac:dyDescent="0.2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</row>
    <row r="156" spans="2:5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</row>
    <row r="157" spans="2:5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</row>
    <row r="158" spans="2:5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</row>
    <row r="159" spans="2:5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</row>
    <row r="160" spans="2:5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</row>
    <row r="161" spans="2:5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</row>
    <row r="162" spans="2:5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</row>
    <row r="163" spans="2:5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</row>
    <row r="164" spans="2:5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</row>
    <row r="165" spans="2:5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</row>
    <row r="166" spans="2:5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</row>
    <row r="167" spans="2:5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</row>
    <row r="168" spans="2:5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</row>
    <row r="169" spans="2:5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</row>
    <row r="170" spans="2:5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</row>
    <row r="171" spans="2:5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</row>
    <row r="172" spans="2:5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</row>
    <row r="173" spans="2:5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</row>
    <row r="174" spans="2:5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</row>
    <row r="175" spans="2:5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</row>
    <row r="176" spans="2:5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</row>
    <row r="177" spans="2:5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</row>
    <row r="178" spans="2:5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</row>
    <row r="179" spans="2:5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</row>
    <row r="180" spans="2:5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</row>
    <row r="181" spans="2:5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</row>
    <row r="182" spans="2:5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</row>
    <row r="183" spans="2:5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</row>
    <row r="184" spans="2:5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</row>
    <row r="185" spans="2:5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</row>
    <row r="186" spans="2:5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</row>
    <row r="187" spans="2:5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</row>
    <row r="188" spans="2:5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</row>
    <row r="189" spans="2:5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</row>
    <row r="190" spans="2:5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</row>
    <row r="191" spans="2:5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</row>
    <row r="192" spans="2:5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</row>
    <row r="193" spans="2:5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</row>
    <row r="194" spans="2:5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</row>
    <row r="195" spans="2:5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</row>
    <row r="196" spans="2:5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</row>
    <row r="197" spans="2:5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</row>
    <row r="198" spans="2:5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</row>
    <row r="199" spans="2:5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</row>
    <row r="200" spans="2:5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</row>
    <row r="201" spans="2:5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</row>
    <row r="202" spans="2:5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</row>
    <row r="203" spans="2:5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</row>
    <row r="204" spans="2:5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</row>
    <row r="205" spans="2:5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</row>
    <row r="206" spans="2:5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</row>
    <row r="207" spans="2:5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</row>
    <row r="208" spans="2:5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</row>
    <row r="209" spans="2:5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</row>
    <row r="210" spans="2:5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</row>
    <row r="211" spans="2:5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</row>
    <row r="212" spans="2:5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</row>
    <row r="213" spans="2:5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</row>
    <row r="214" spans="2:5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</row>
    <row r="215" spans="2:5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</row>
    <row r="216" spans="2:5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</row>
    <row r="217" spans="2:5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</row>
    <row r="218" spans="2:5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</row>
    <row r="219" spans="2:5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</row>
    <row r="220" spans="2:5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</row>
    <row r="221" spans="2:5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</row>
    <row r="222" spans="2:5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</row>
    <row r="223" spans="2:5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</row>
    <row r="224" spans="2:5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</row>
    <row r="225" spans="2:5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</row>
    <row r="226" spans="2:5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</row>
    <row r="227" spans="2:5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</row>
    <row r="228" spans="2:5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</row>
    <row r="229" spans="2:5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</row>
    <row r="230" spans="2:5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</row>
    <row r="231" spans="2:5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</row>
    <row r="232" spans="2:5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</row>
    <row r="233" spans="2:5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</row>
    <row r="234" spans="2:5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</row>
    <row r="235" spans="2:5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</row>
    <row r="236" spans="2:5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</row>
    <row r="237" spans="2:5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</row>
    <row r="238" spans="2:5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</row>
    <row r="239" spans="2:5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</row>
    <row r="240" spans="2:5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</row>
    <row r="241" spans="2:5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</row>
    <row r="242" spans="2:5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</row>
    <row r="243" spans="2:5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</row>
    <row r="244" spans="2:5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</row>
    <row r="245" spans="2:5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</row>
    <row r="246" spans="2:5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</row>
    <row r="247" spans="2:5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</row>
    <row r="248" spans="2:5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</row>
    <row r="249" spans="2:5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</row>
    <row r="250" spans="2:5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</row>
    <row r="251" spans="2:5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</row>
    <row r="252" spans="2:5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</row>
    <row r="253" spans="2:5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</row>
    <row r="254" spans="2:5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</row>
    <row r="255" spans="2:5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</row>
    <row r="256" spans="2:5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</row>
    <row r="257" spans="2:5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</row>
    <row r="258" spans="2:5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</row>
    <row r="259" spans="2:5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</row>
    <row r="260" spans="2:5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</row>
    <row r="261" spans="2:5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</row>
    <row r="262" spans="2:5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</row>
    <row r="263" spans="2:5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</row>
    <row r="264" spans="2:5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</row>
    <row r="265" spans="2:5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</row>
    <row r="266" spans="2:5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</row>
    <row r="267" spans="2:5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</row>
    <row r="268" spans="2:5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</row>
    <row r="269" spans="2:5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</row>
    <row r="270" spans="2:5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</row>
    <row r="271" spans="2:5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</row>
    <row r="272" spans="2:5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</row>
    <row r="273" spans="2:5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</row>
    <row r="274" spans="2:5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</row>
    <row r="275" spans="2:5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</row>
    <row r="276" spans="2:5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</row>
    <row r="277" spans="2:5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</row>
    <row r="278" spans="2:5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</row>
    <row r="279" spans="2:5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</row>
    <row r="280" spans="2:5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</row>
    <row r="281" spans="2:5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</row>
    <row r="282" spans="2:5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</row>
    <row r="283" spans="2:5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</row>
    <row r="284" spans="2:5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</row>
    <row r="285" spans="2:5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</row>
    <row r="286" spans="2:5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</row>
    <row r="287" spans="2:5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</row>
    <row r="288" spans="2:5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</row>
    <row r="289" spans="2:5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</row>
    <row r="290" spans="2:5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</row>
    <row r="291" spans="2:5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</row>
    <row r="292" spans="2:5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</row>
    <row r="293" spans="2:5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</row>
    <row r="294" spans="2:5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</row>
    <row r="295" spans="2:5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</row>
    <row r="296" spans="2:5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</row>
    <row r="297" spans="2:5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</row>
    <row r="298" spans="2:5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</row>
    <row r="299" spans="2:5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</row>
    <row r="300" spans="2:5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</row>
    <row r="301" spans="2:5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</row>
    <row r="302" spans="2:5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</row>
    <row r="303" spans="2:5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</row>
    <row r="304" spans="2:5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</row>
    <row r="305" spans="2:5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</row>
    <row r="306" spans="2:5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</row>
    <row r="307" spans="2:5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</row>
    <row r="308" spans="2:5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</row>
    <row r="309" spans="2:5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</row>
    <row r="310" spans="2:5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</row>
    <row r="311" spans="2:5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</row>
    <row r="312" spans="2:5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</row>
    <row r="313" spans="2:5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</row>
    <row r="314" spans="2:5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</row>
    <row r="315" spans="2:5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</row>
    <row r="316" spans="2:5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</row>
    <row r="317" spans="2:5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</row>
    <row r="318" spans="2:5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</row>
    <row r="319" spans="2:5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</row>
    <row r="320" spans="2:5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</row>
    <row r="321" spans="2:5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</row>
    <row r="322" spans="2:5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</row>
    <row r="323" spans="2:5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</row>
    <row r="324" spans="2:5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</row>
    <row r="325" spans="2:5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</row>
    <row r="326" spans="2:54" x14ac:dyDescent="0.25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</row>
    <row r="327" spans="2:54" x14ac:dyDescent="0.25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</row>
    <row r="328" spans="2:54" x14ac:dyDescent="0.25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</row>
    <row r="329" spans="2:54" x14ac:dyDescent="0.25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</row>
    <row r="330" spans="2:54" x14ac:dyDescent="0.25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</row>
    <row r="331" spans="2:54" x14ac:dyDescent="0.25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</row>
    <row r="332" spans="2:54" x14ac:dyDescent="0.25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</row>
    <row r="333" spans="2:54" x14ac:dyDescent="0.25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</row>
    <row r="334" spans="2:54" x14ac:dyDescent="0.25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</row>
    <row r="335" spans="2:54" x14ac:dyDescent="0.2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</row>
    <row r="336" spans="2:54" x14ac:dyDescent="0.25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</row>
    <row r="337" spans="2:54" x14ac:dyDescent="0.25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</row>
    <row r="338" spans="2:54" x14ac:dyDescent="0.25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</row>
    <row r="339" spans="2:54" x14ac:dyDescent="0.25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</row>
    <row r="340" spans="2:54" x14ac:dyDescent="0.25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</row>
    <row r="341" spans="2:54" x14ac:dyDescent="0.25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</row>
    <row r="342" spans="2:54" x14ac:dyDescent="0.25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</row>
    <row r="343" spans="2:54" x14ac:dyDescent="0.25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</row>
    <row r="344" spans="2:54" x14ac:dyDescent="0.25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</row>
    <row r="345" spans="2:54" x14ac:dyDescent="0.2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</row>
    <row r="346" spans="2:54" x14ac:dyDescent="0.25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</row>
    <row r="347" spans="2:54" x14ac:dyDescent="0.25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</row>
    <row r="348" spans="2:54" x14ac:dyDescent="0.25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</row>
    <row r="349" spans="2:54" x14ac:dyDescent="0.25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</row>
    <row r="350" spans="2:54" x14ac:dyDescent="0.25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</row>
    <row r="351" spans="2:54" x14ac:dyDescent="0.25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</row>
    <row r="352" spans="2:54" x14ac:dyDescent="0.25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</row>
    <row r="353" spans="2:54" x14ac:dyDescent="0.25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</row>
    <row r="354" spans="2:54" x14ac:dyDescent="0.25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</row>
    <row r="355" spans="2:54" x14ac:dyDescent="0.2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</row>
    <row r="356" spans="2:54" x14ac:dyDescent="0.25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</row>
    <row r="357" spans="2:54" x14ac:dyDescent="0.25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</row>
    <row r="358" spans="2:54" x14ac:dyDescent="0.25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</row>
    <row r="359" spans="2:54" x14ac:dyDescent="0.25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</row>
    <row r="360" spans="2:54" x14ac:dyDescent="0.25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</row>
    <row r="361" spans="2:54" x14ac:dyDescent="0.25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</row>
    <row r="362" spans="2:54" x14ac:dyDescent="0.25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</row>
    <row r="363" spans="2:54" x14ac:dyDescent="0.25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</row>
    <row r="364" spans="2:54" x14ac:dyDescent="0.25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</row>
    <row r="365" spans="2:54" x14ac:dyDescent="0.2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</row>
    <row r="366" spans="2:54" x14ac:dyDescent="0.25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</row>
    <row r="367" spans="2:54" x14ac:dyDescent="0.25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</row>
    <row r="368" spans="2:54" x14ac:dyDescent="0.25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</row>
    <row r="369" spans="2:54" x14ac:dyDescent="0.25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</row>
    <row r="370" spans="2:54" x14ac:dyDescent="0.25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</row>
    <row r="371" spans="2:54" x14ac:dyDescent="0.25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</row>
    <row r="372" spans="2:54" x14ac:dyDescent="0.25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</row>
    <row r="373" spans="2:54" x14ac:dyDescent="0.25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</row>
    <row r="374" spans="2:54" x14ac:dyDescent="0.25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</row>
    <row r="375" spans="2:54" x14ac:dyDescent="0.2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</row>
    <row r="376" spans="2:54" x14ac:dyDescent="0.25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</row>
    <row r="377" spans="2:54" x14ac:dyDescent="0.25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</row>
    <row r="378" spans="2:54" x14ac:dyDescent="0.25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</row>
    <row r="379" spans="2:54" x14ac:dyDescent="0.25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</row>
    <row r="380" spans="2:54" x14ac:dyDescent="0.25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</row>
    <row r="381" spans="2:54" x14ac:dyDescent="0.25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</row>
    <row r="382" spans="2:54" x14ac:dyDescent="0.25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</row>
    <row r="383" spans="2:54" x14ac:dyDescent="0.25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</row>
    <row r="384" spans="2:54" x14ac:dyDescent="0.25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</row>
    <row r="385" spans="2:54" x14ac:dyDescent="0.2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</row>
    <row r="386" spans="2:54" x14ac:dyDescent="0.25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</row>
    <row r="387" spans="2:54" x14ac:dyDescent="0.25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</row>
    <row r="388" spans="2:54" x14ac:dyDescent="0.25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</row>
    <row r="389" spans="2:54" x14ac:dyDescent="0.25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</row>
    <row r="390" spans="2:54" x14ac:dyDescent="0.25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</row>
    <row r="391" spans="2:54" x14ac:dyDescent="0.25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</row>
    <row r="392" spans="2:54" x14ac:dyDescent="0.25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</row>
    <row r="393" spans="2:54" x14ac:dyDescent="0.25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</row>
    <row r="394" spans="2:54" x14ac:dyDescent="0.25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</row>
    <row r="395" spans="2:54" x14ac:dyDescent="0.2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</row>
    <row r="396" spans="2:54" x14ac:dyDescent="0.25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</row>
    <row r="397" spans="2:54" x14ac:dyDescent="0.25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</row>
    <row r="398" spans="2:54" x14ac:dyDescent="0.25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</row>
    <row r="399" spans="2:54" x14ac:dyDescent="0.25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</row>
    <row r="400" spans="2:54" x14ac:dyDescent="0.25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</row>
    <row r="401" spans="2:54" x14ac:dyDescent="0.25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</row>
    <row r="402" spans="2:54" x14ac:dyDescent="0.25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</row>
    <row r="403" spans="2:54" x14ac:dyDescent="0.25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</row>
    <row r="404" spans="2:54" x14ac:dyDescent="0.25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</row>
    <row r="405" spans="2:54" x14ac:dyDescent="0.2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</row>
    <row r="406" spans="2:54" x14ac:dyDescent="0.25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</row>
    <row r="407" spans="2:54" x14ac:dyDescent="0.25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</row>
    <row r="408" spans="2:54" x14ac:dyDescent="0.25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</row>
    <row r="409" spans="2:54" x14ac:dyDescent="0.25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</row>
    <row r="410" spans="2:54" x14ac:dyDescent="0.25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</row>
    <row r="411" spans="2:54" x14ac:dyDescent="0.25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</row>
    <row r="412" spans="2:54" x14ac:dyDescent="0.25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</row>
    <row r="413" spans="2:54" x14ac:dyDescent="0.25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</row>
    <row r="414" spans="2:54" x14ac:dyDescent="0.25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</row>
    <row r="415" spans="2:54" x14ac:dyDescent="0.2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</row>
    <row r="416" spans="2:54" x14ac:dyDescent="0.25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</row>
    <row r="417" spans="2:54" x14ac:dyDescent="0.25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</row>
    <row r="418" spans="2:54" x14ac:dyDescent="0.25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</row>
    <row r="419" spans="2:54" x14ac:dyDescent="0.25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</row>
    <row r="420" spans="2:54" x14ac:dyDescent="0.25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</row>
    <row r="421" spans="2:54" x14ac:dyDescent="0.25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</row>
    <row r="422" spans="2:54" x14ac:dyDescent="0.25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</row>
    <row r="423" spans="2:54" x14ac:dyDescent="0.25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</row>
    <row r="424" spans="2:54" x14ac:dyDescent="0.25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</row>
    <row r="425" spans="2:54" x14ac:dyDescent="0.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</row>
    <row r="426" spans="2:54" x14ac:dyDescent="0.25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</row>
    <row r="427" spans="2:54" x14ac:dyDescent="0.25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</row>
    <row r="428" spans="2:54" x14ac:dyDescent="0.25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</row>
    <row r="429" spans="2:54" x14ac:dyDescent="0.25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</row>
    <row r="430" spans="2:54" x14ac:dyDescent="0.25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</row>
    <row r="431" spans="2:54" x14ac:dyDescent="0.25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</row>
    <row r="432" spans="2:54" x14ac:dyDescent="0.25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</row>
    <row r="433" spans="2:54" x14ac:dyDescent="0.25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</row>
    <row r="434" spans="2:54" x14ac:dyDescent="0.25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</row>
    <row r="435" spans="2:54" x14ac:dyDescent="0.2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</row>
    <row r="436" spans="2:54" x14ac:dyDescent="0.25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</row>
    <row r="437" spans="2:54" x14ac:dyDescent="0.25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</row>
    <row r="438" spans="2:54" x14ac:dyDescent="0.25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</row>
    <row r="439" spans="2:54" x14ac:dyDescent="0.25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</row>
    <row r="440" spans="2:54" x14ac:dyDescent="0.25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</row>
    <row r="441" spans="2:54" x14ac:dyDescent="0.25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</row>
    <row r="442" spans="2:54" x14ac:dyDescent="0.25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</row>
    <row r="443" spans="2:54" x14ac:dyDescent="0.25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</row>
    <row r="444" spans="2:54" x14ac:dyDescent="0.25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</row>
    <row r="445" spans="2:54" x14ac:dyDescent="0.2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</row>
    <row r="446" spans="2:54" x14ac:dyDescent="0.25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</row>
    <row r="447" spans="2:54" x14ac:dyDescent="0.25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</row>
    <row r="448" spans="2:54" x14ac:dyDescent="0.25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</row>
    <row r="449" spans="2:54" x14ac:dyDescent="0.25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</row>
    <row r="450" spans="2:54" x14ac:dyDescent="0.25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</row>
    <row r="451" spans="2:54" x14ac:dyDescent="0.25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</row>
    <row r="452" spans="2:54" x14ac:dyDescent="0.25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</row>
    <row r="453" spans="2:54" x14ac:dyDescent="0.25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</row>
    <row r="454" spans="2:54" x14ac:dyDescent="0.25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</row>
    <row r="455" spans="2:54" x14ac:dyDescent="0.2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</row>
    <row r="456" spans="2:54" x14ac:dyDescent="0.25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</row>
    <row r="457" spans="2:54" x14ac:dyDescent="0.25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</row>
    <row r="458" spans="2:54" x14ac:dyDescent="0.25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</row>
    <row r="459" spans="2:54" x14ac:dyDescent="0.25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</row>
    <row r="460" spans="2:54" x14ac:dyDescent="0.25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</row>
    <row r="461" spans="2:54" x14ac:dyDescent="0.25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</row>
    <row r="462" spans="2:54" x14ac:dyDescent="0.25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</row>
    <row r="463" spans="2:54" x14ac:dyDescent="0.25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</row>
    <row r="464" spans="2:54" x14ac:dyDescent="0.25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</row>
    <row r="465" spans="2:54" x14ac:dyDescent="0.2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</row>
    <row r="466" spans="2:54" x14ac:dyDescent="0.25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</row>
    <row r="467" spans="2:54" x14ac:dyDescent="0.25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</row>
    <row r="468" spans="2:54" x14ac:dyDescent="0.25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</row>
    <row r="469" spans="2:54" x14ac:dyDescent="0.25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</row>
    <row r="470" spans="2:54" x14ac:dyDescent="0.25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</row>
    <row r="471" spans="2:54" x14ac:dyDescent="0.25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</row>
    <row r="472" spans="2:54" x14ac:dyDescent="0.25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</row>
    <row r="473" spans="2:54" x14ac:dyDescent="0.25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</row>
    <row r="474" spans="2:54" x14ac:dyDescent="0.25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</row>
    <row r="475" spans="2:54" x14ac:dyDescent="0.2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</row>
    <row r="476" spans="2:54" x14ac:dyDescent="0.25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</row>
    <row r="477" spans="2:54" x14ac:dyDescent="0.25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</row>
    <row r="478" spans="2:54" x14ac:dyDescent="0.25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</row>
    <row r="479" spans="2:54" x14ac:dyDescent="0.25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</row>
    <row r="480" spans="2:54" x14ac:dyDescent="0.25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</row>
    <row r="481" spans="2:54" x14ac:dyDescent="0.25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</row>
    <row r="482" spans="2:54" x14ac:dyDescent="0.25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</row>
    <row r="483" spans="2:54" x14ac:dyDescent="0.25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</row>
    <row r="484" spans="2:54" x14ac:dyDescent="0.25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</row>
    <row r="485" spans="2:54" x14ac:dyDescent="0.2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</row>
    <row r="486" spans="2:54" x14ac:dyDescent="0.25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</row>
    <row r="487" spans="2:54" x14ac:dyDescent="0.25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</row>
    <row r="488" spans="2:54" x14ac:dyDescent="0.25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</row>
    <row r="489" spans="2:54" x14ac:dyDescent="0.25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</row>
    <row r="490" spans="2:54" x14ac:dyDescent="0.25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</row>
    <row r="491" spans="2:54" x14ac:dyDescent="0.25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</row>
    <row r="492" spans="2:54" x14ac:dyDescent="0.25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</row>
    <row r="493" spans="2:54" x14ac:dyDescent="0.25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</row>
    <row r="494" spans="2:54" x14ac:dyDescent="0.25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</row>
    <row r="495" spans="2:54" x14ac:dyDescent="0.2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</row>
    <row r="496" spans="2:54" x14ac:dyDescent="0.25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</row>
    <row r="497" spans="2:54" x14ac:dyDescent="0.25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</row>
    <row r="498" spans="2:54" x14ac:dyDescent="0.25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</row>
    <row r="499" spans="2:54" x14ac:dyDescent="0.25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</row>
    <row r="500" spans="2:54" x14ac:dyDescent="0.25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</row>
    <row r="501" spans="2:54" x14ac:dyDescent="0.25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</row>
    <row r="502" spans="2:54" x14ac:dyDescent="0.25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</row>
    <row r="503" spans="2:54" x14ac:dyDescent="0.25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</row>
    <row r="504" spans="2:54" x14ac:dyDescent="0.25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</row>
    <row r="505" spans="2:54" x14ac:dyDescent="0.2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</row>
    <row r="506" spans="2:54" x14ac:dyDescent="0.25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</row>
    <row r="507" spans="2:54" x14ac:dyDescent="0.25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</row>
    <row r="508" spans="2:54" x14ac:dyDescent="0.25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</row>
    <row r="509" spans="2:54" x14ac:dyDescent="0.25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</row>
    <row r="510" spans="2:54" x14ac:dyDescent="0.25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</row>
    <row r="511" spans="2:54" x14ac:dyDescent="0.25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</row>
    <row r="512" spans="2:54" x14ac:dyDescent="0.25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</row>
    <row r="513" spans="2:54" x14ac:dyDescent="0.25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</row>
    <row r="514" spans="2:54" x14ac:dyDescent="0.25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</row>
    <row r="515" spans="2:54" x14ac:dyDescent="0.2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</row>
    <row r="516" spans="2:54" x14ac:dyDescent="0.25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</row>
    <row r="517" spans="2:54" x14ac:dyDescent="0.25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</row>
    <row r="518" spans="2:54" x14ac:dyDescent="0.25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</row>
    <row r="519" spans="2:54" x14ac:dyDescent="0.25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</row>
    <row r="520" spans="2:54" x14ac:dyDescent="0.25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</row>
    <row r="521" spans="2:54" x14ac:dyDescent="0.25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</row>
    <row r="522" spans="2:54" x14ac:dyDescent="0.25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</row>
    <row r="523" spans="2:54" x14ac:dyDescent="0.25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</row>
    <row r="524" spans="2:54" x14ac:dyDescent="0.25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</row>
    <row r="525" spans="2:54" x14ac:dyDescent="0.2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</row>
    <row r="526" spans="2:54" x14ac:dyDescent="0.25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</row>
    <row r="527" spans="2:54" x14ac:dyDescent="0.25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</row>
    <row r="528" spans="2:54" x14ac:dyDescent="0.25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</row>
    <row r="529" spans="2:54" x14ac:dyDescent="0.25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</row>
    <row r="530" spans="2:54" x14ac:dyDescent="0.25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</row>
    <row r="531" spans="2:54" x14ac:dyDescent="0.25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</row>
    <row r="532" spans="2:54" x14ac:dyDescent="0.25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</row>
    <row r="533" spans="2:54" x14ac:dyDescent="0.25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</row>
    <row r="534" spans="2:54" x14ac:dyDescent="0.25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</row>
    <row r="535" spans="2:54" x14ac:dyDescent="0.2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</row>
    <row r="536" spans="2:54" x14ac:dyDescent="0.25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</row>
    <row r="537" spans="2:54" x14ac:dyDescent="0.25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</row>
    <row r="538" spans="2:54" x14ac:dyDescent="0.25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</row>
    <row r="539" spans="2:54" x14ac:dyDescent="0.25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</row>
    <row r="540" spans="2:54" x14ac:dyDescent="0.25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</row>
    <row r="541" spans="2:54" x14ac:dyDescent="0.25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</row>
    <row r="542" spans="2:54" x14ac:dyDescent="0.25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</row>
    <row r="543" spans="2:54" x14ac:dyDescent="0.25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</row>
    <row r="544" spans="2:54" x14ac:dyDescent="0.25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</row>
    <row r="545" spans="2:54" x14ac:dyDescent="0.2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</row>
    <row r="546" spans="2:54" x14ac:dyDescent="0.25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</row>
    <row r="547" spans="2:54" x14ac:dyDescent="0.25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</row>
    <row r="548" spans="2:54" x14ac:dyDescent="0.25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</row>
    <row r="549" spans="2:54" x14ac:dyDescent="0.25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</row>
    <row r="550" spans="2:54" x14ac:dyDescent="0.25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</row>
    <row r="551" spans="2:54" x14ac:dyDescent="0.25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</row>
    <row r="552" spans="2:54" x14ac:dyDescent="0.25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</row>
    <row r="553" spans="2:54" x14ac:dyDescent="0.25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</row>
    <row r="554" spans="2:54" x14ac:dyDescent="0.25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</row>
    <row r="555" spans="2:54" x14ac:dyDescent="0.2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</row>
    <row r="556" spans="2:54" x14ac:dyDescent="0.25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</row>
    <row r="557" spans="2:54" x14ac:dyDescent="0.25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</row>
    <row r="558" spans="2:54" x14ac:dyDescent="0.25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</row>
    <row r="559" spans="2:54" x14ac:dyDescent="0.25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</row>
    <row r="560" spans="2:54" x14ac:dyDescent="0.25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</row>
    <row r="561" spans="2:54" x14ac:dyDescent="0.25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</row>
    <row r="562" spans="2:54" x14ac:dyDescent="0.25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</row>
    <row r="563" spans="2:54" x14ac:dyDescent="0.25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</row>
    <row r="564" spans="2:54" x14ac:dyDescent="0.25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</row>
    <row r="565" spans="2:54" x14ac:dyDescent="0.2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</row>
    <row r="566" spans="2:54" x14ac:dyDescent="0.25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</row>
    <row r="567" spans="2:54" x14ac:dyDescent="0.25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</row>
    <row r="568" spans="2:54" x14ac:dyDescent="0.25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</row>
    <row r="569" spans="2:54" x14ac:dyDescent="0.25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</row>
    <row r="570" spans="2:54" x14ac:dyDescent="0.25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</row>
    <row r="571" spans="2:54" x14ac:dyDescent="0.25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</row>
    <row r="572" spans="2:54" x14ac:dyDescent="0.25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</row>
    <row r="573" spans="2:54" x14ac:dyDescent="0.25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</row>
    <row r="574" spans="2:54" x14ac:dyDescent="0.25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</row>
    <row r="575" spans="2:54" x14ac:dyDescent="0.2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</row>
    <row r="576" spans="2:54" x14ac:dyDescent="0.25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</row>
    <row r="577" spans="2:54" x14ac:dyDescent="0.25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</row>
    <row r="578" spans="2:54" x14ac:dyDescent="0.25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</row>
    <row r="579" spans="2:54" x14ac:dyDescent="0.25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</row>
    <row r="580" spans="2:54" x14ac:dyDescent="0.25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</row>
    <row r="581" spans="2:54" x14ac:dyDescent="0.25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</row>
    <row r="582" spans="2:54" x14ac:dyDescent="0.25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</row>
    <row r="583" spans="2:54" x14ac:dyDescent="0.25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</row>
    <row r="584" spans="2:54" x14ac:dyDescent="0.25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</row>
    <row r="585" spans="2:54" x14ac:dyDescent="0.2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</row>
    <row r="586" spans="2:54" x14ac:dyDescent="0.25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</row>
    <row r="587" spans="2:54" x14ac:dyDescent="0.25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</row>
    <row r="588" spans="2:54" x14ac:dyDescent="0.25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</row>
    <row r="589" spans="2:54" x14ac:dyDescent="0.25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</row>
    <row r="590" spans="2:54" x14ac:dyDescent="0.25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</row>
    <row r="591" spans="2:54" x14ac:dyDescent="0.25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</row>
    <row r="592" spans="2:54" x14ac:dyDescent="0.25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</row>
    <row r="593" spans="2:54" x14ac:dyDescent="0.25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</row>
    <row r="594" spans="2:54" x14ac:dyDescent="0.25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</row>
    <row r="595" spans="2:54" x14ac:dyDescent="0.2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</row>
    <row r="596" spans="2:54" x14ac:dyDescent="0.25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</row>
    <row r="597" spans="2:54" x14ac:dyDescent="0.25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</row>
    <row r="598" spans="2:54" x14ac:dyDescent="0.25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</row>
    <row r="599" spans="2:54" x14ac:dyDescent="0.25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</row>
    <row r="600" spans="2:54" x14ac:dyDescent="0.25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</row>
    <row r="601" spans="2:54" x14ac:dyDescent="0.25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</row>
    <row r="602" spans="2:54" x14ac:dyDescent="0.25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</row>
    <row r="603" spans="2:54" x14ac:dyDescent="0.25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</row>
    <row r="604" spans="2:54" x14ac:dyDescent="0.25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</row>
    <row r="605" spans="2:54" x14ac:dyDescent="0.2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</row>
    <row r="606" spans="2:54" x14ac:dyDescent="0.25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</row>
    <row r="607" spans="2:54" x14ac:dyDescent="0.25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</row>
    <row r="608" spans="2:54" x14ac:dyDescent="0.25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</row>
    <row r="609" spans="2:54" x14ac:dyDescent="0.25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</row>
    <row r="610" spans="2:54" x14ac:dyDescent="0.25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</row>
    <row r="611" spans="2:54" x14ac:dyDescent="0.25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</row>
    <row r="612" spans="2:54" x14ac:dyDescent="0.25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</row>
    <row r="613" spans="2:54" x14ac:dyDescent="0.25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</row>
    <row r="614" spans="2:54" x14ac:dyDescent="0.25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</row>
    <row r="615" spans="2:54" x14ac:dyDescent="0.2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</row>
    <row r="616" spans="2:54" x14ac:dyDescent="0.25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</row>
    <row r="617" spans="2:54" x14ac:dyDescent="0.25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</row>
    <row r="618" spans="2:54" x14ac:dyDescent="0.25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</row>
    <row r="619" spans="2:54" x14ac:dyDescent="0.25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</row>
    <row r="620" spans="2:54" x14ac:dyDescent="0.25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</row>
    <row r="621" spans="2:54" x14ac:dyDescent="0.25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</row>
    <row r="622" spans="2:54" x14ac:dyDescent="0.25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</row>
    <row r="623" spans="2:54" x14ac:dyDescent="0.25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</row>
    <row r="624" spans="2:54" x14ac:dyDescent="0.25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</row>
    <row r="625" spans="2:54" x14ac:dyDescent="0.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</row>
    <row r="626" spans="2:54" x14ac:dyDescent="0.25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</row>
    <row r="627" spans="2:54" x14ac:dyDescent="0.25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</row>
    <row r="628" spans="2:54" x14ac:dyDescent="0.25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</row>
    <row r="629" spans="2:54" x14ac:dyDescent="0.25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</row>
    <row r="630" spans="2:54" x14ac:dyDescent="0.25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</row>
    <row r="631" spans="2:54" x14ac:dyDescent="0.25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</row>
    <row r="632" spans="2:54" x14ac:dyDescent="0.25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</row>
    <row r="633" spans="2:54" x14ac:dyDescent="0.25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</row>
    <row r="634" spans="2:54" x14ac:dyDescent="0.25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</row>
    <row r="635" spans="2:54" x14ac:dyDescent="0.2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</row>
    <row r="636" spans="2:54" x14ac:dyDescent="0.25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</row>
    <row r="637" spans="2:54" x14ac:dyDescent="0.25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</row>
    <row r="638" spans="2:54" x14ac:dyDescent="0.25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</row>
    <row r="639" spans="2:54" x14ac:dyDescent="0.25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</row>
    <row r="640" spans="2:54" x14ac:dyDescent="0.25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</row>
    <row r="641" spans="2:54" x14ac:dyDescent="0.25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</row>
    <row r="642" spans="2:54" x14ac:dyDescent="0.25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</row>
    <row r="643" spans="2:54" x14ac:dyDescent="0.25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</row>
    <row r="644" spans="2:54" x14ac:dyDescent="0.25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</row>
    <row r="645" spans="2:54" x14ac:dyDescent="0.2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</row>
    <row r="646" spans="2:54" x14ac:dyDescent="0.25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</row>
    <row r="647" spans="2:54" x14ac:dyDescent="0.25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</row>
    <row r="648" spans="2:54" x14ac:dyDescent="0.25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</row>
    <row r="649" spans="2:54" x14ac:dyDescent="0.25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</row>
    <row r="650" spans="2:54" x14ac:dyDescent="0.25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</row>
    <row r="651" spans="2:54" x14ac:dyDescent="0.25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</row>
    <row r="652" spans="2:54" x14ac:dyDescent="0.25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</row>
    <row r="653" spans="2:54" x14ac:dyDescent="0.25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</row>
    <row r="654" spans="2:54" x14ac:dyDescent="0.25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</row>
    <row r="655" spans="2:54" x14ac:dyDescent="0.2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</row>
    <row r="656" spans="2:54" x14ac:dyDescent="0.25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</row>
    <row r="657" spans="2:54" x14ac:dyDescent="0.25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</row>
    <row r="658" spans="2:54" x14ac:dyDescent="0.25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</row>
    <row r="659" spans="2:54" x14ac:dyDescent="0.25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</row>
    <row r="660" spans="2:54" x14ac:dyDescent="0.25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</row>
    <row r="661" spans="2:54" x14ac:dyDescent="0.25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</row>
    <row r="662" spans="2:54" x14ac:dyDescent="0.25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</row>
    <row r="663" spans="2:54" x14ac:dyDescent="0.25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</row>
    <row r="664" spans="2:54" x14ac:dyDescent="0.25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</row>
    <row r="665" spans="2:54" x14ac:dyDescent="0.25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</row>
    <row r="666" spans="2:54" x14ac:dyDescent="0.25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</row>
    <row r="667" spans="2:54" x14ac:dyDescent="0.25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</row>
    <row r="668" spans="2:54" x14ac:dyDescent="0.25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</row>
    <row r="669" spans="2:54" x14ac:dyDescent="0.25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</row>
    <row r="670" spans="2:54" x14ac:dyDescent="0.25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</row>
    <row r="671" spans="2:54" x14ac:dyDescent="0.25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</row>
    <row r="672" spans="2:54" x14ac:dyDescent="0.25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</row>
    <row r="673" spans="2:54" x14ac:dyDescent="0.25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</row>
    <row r="674" spans="2:54" x14ac:dyDescent="0.25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</row>
    <row r="675" spans="2:54" x14ac:dyDescent="0.25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</row>
    <row r="676" spans="2:54" x14ac:dyDescent="0.25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</row>
    <row r="677" spans="2:54" x14ac:dyDescent="0.25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</row>
    <row r="678" spans="2:54" x14ac:dyDescent="0.25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</row>
    <row r="679" spans="2:54" x14ac:dyDescent="0.25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</row>
    <row r="680" spans="2:54" x14ac:dyDescent="0.25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</row>
    <row r="681" spans="2:54" x14ac:dyDescent="0.25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</row>
    <row r="682" spans="2:54" x14ac:dyDescent="0.25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</row>
    <row r="683" spans="2:54" x14ac:dyDescent="0.25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</row>
    <row r="684" spans="2:54" x14ac:dyDescent="0.25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</row>
    <row r="685" spans="2:54" x14ac:dyDescent="0.25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</row>
    <row r="686" spans="2:54" x14ac:dyDescent="0.25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</row>
    <row r="687" spans="2:54" x14ac:dyDescent="0.25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</row>
    <row r="688" spans="2:54" x14ac:dyDescent="0.25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</row>
    <row r="689" spans="2:54" x14ac:dyDescent="0.25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</row>
    <row r="690" spans="2:54" x14ac:dyDescent="0.25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</row>
    <row r="691" spans="2:54" x14ac:dyDescent="0.25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</row>
    <row r="692" spans="2:54" x14ac:dyDescent="0.25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</row>
    <row r="693" spans="2:54" x14ac:dyDescent="0.25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</row>
    <row r="694" spans="2:54" x14ac:dyDescent="0.25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</row>
    <row r="695" spans="2:54" x14ac:dyDescent="0.25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</row>
    <row r="696" spans="2:54" x14ac:dyDescent="0.25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</row>
    <row r="697" spans="2:54" x14ac:dyDescent="0.25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</row>
    <row r="698" spans="2:54" x14ac:dyDescent="0.25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</row>
    <row r="699" spans="2:54" x14ac:dyDescent="0.25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</row>
    <row r="700" spans="2:54" x14ac:dyDescent="0.25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</row>
    <row r="701" spans="2:54" x14ac:dyDescent="0.25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</row>
    <row r="702" spans="2:54" x14ac:dyDescent="0.25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</row>
    <row r="703" spans="2:54" x14ac:dyDescent="0.25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</row>
    <row r="704" spans="2:54" x14ac:dyDescent="0.25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</row>
    <row r="705" spans="2:54" x14ac:dyDescent="0.25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</row>
    <row r="706" spans="2:54" x14ac:dyDescent="0.25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</row>
    <row r="707" spans="2:54" x14ac:dyDescent="0.25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</row>
    <row r="708" spans="2:54" x14ac:dyDescent="0.25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</row>
    <row r="709" spans="2:54" x14ac:dyDescent="0.25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</row>
    <row r="710" spans="2:54" x14ac:dyDescent="0.25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</row>
    <row r="711" spans="2:54" x14ac:dyDescent="0.25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</row>
    <row r="712" spans="2:54" x14ac:dyDescent="0.25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</row>
    <row r="713" spans="2:54" x14ac:dyDescent="0.25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</row>
    <row r="714" spans="2:54" x14ac:dyDescent="0.25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</row>
    <row r="715" spans="2:54" x14ac:dyDescent="0.25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</row>
    <row r="716" spans="2:54" x14ac:dyDescent="0.25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</row>
    <row r="717" spans="2:54" x14ac:dyDescent="0.25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</row>
    <row r="718" spans="2:54" x14ac:dyDescent="0.25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</row>
    <row r="719" spans="2:54" x14ac:dyDescent="0.25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</row>
    <row r="720" spans="2:54" x14ac:dyDescent="0.25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</row>
    <row r="721" spans="2:54" x14ac:dyDescent="0.25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</row>
    <row r="722" spans="2:54" x14ac:dyDescent="0.25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</row>
    <row r="723" spans="2:54" x14ac:dyDescent="0.25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</row>
    <row r="724" spans="2:54" x14ac:dyDescent="0.25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</row>
    <row r="725" spans="2:54" x14ac:dyDescent="0.25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</row>
    <row r="726" spans="2:54" x14ac:dyDescent="0.25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</row>
    <row r="727" spans="2:54" x14ac:dyDescent="0.25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</row>
    <row r="728" spans="2:54" x14ac:dyDescent="0.25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</row>
    <row r="729" spans="2:54" x14ac:dyDescent="0.25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</row>
    <row r="730" spans="2:54" x14ac:dyDescent="0.25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</row>
    <row r="731" spans="2:54" x14ac:dyDescent="0.25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</row>
    <row r="732" spans="2:54" x14ac:dyDescent="0.25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</row>
    <row r="733" spans="2:54" x14ac:dyDescent="0.25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</row>
    <row r="734" spans="2:54" x14ac:dyDescent="0.25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</row>
    <row r="735" spans="2:54" x14ac:dyDescent="0.25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</row>
    <row r="736" spans="2:54" x14ac:dyDescent="0.25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</row>
    <row r="737" spans="2:54" x14ac:dyDescent="0.25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</row>
    <row r="738" spans="2:54" x14ac:dyDescent="0.25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</row>
    <row r="739" spans="2:54" x14ac:dyDescent="0.25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</row>
    <row r="740" spans="2:54" x14ac:dyDescent="0.25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</row>
    <row r="741" spans="2:54" x14ac:dyDescent="0.25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</row>
    <row r="742" spans="2:54" x14ac:dyDescent="0.25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</row>
    <row r="743" spans="2:54" x14ac:dyDescent="0.25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</row>
    <row r="744" spans="2:54" x14ac:dyDescent="0.25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</row>
    <row r="745" spans="2:54" x14ac:dyDescent="0.25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</row>
    <row r="746" spans="2:54" x14ac:dyDescent="0.25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</row>
    <row r="747" spans="2:54" x14ac:dyDescent="0.25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</row>
    <row r="748" spans="2:54" x14ac:dyDescent="0.25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</row>
    <row r="749" spans="2:54" x14ac:dyDescent="0.25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</row>
    <row r="750" spans="2:54" x14ac:dyDescent="0.25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</row>
    <row r="751" spans="2:54" x14ac:dyDescent="0.25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</row>
    <row r="752" spans="2:54" x14ac:dyDescent="0.25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</row>
    <row r="753" spans="2:54" x14ac:dyDescent="0.25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</row>
    <row r="754" spans="2:54" x14ac:dyDescent="0.25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</row>
    <row r="755" spans="2:54" x14ac:dyDescent="0.25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</row>
    <row r="756" spans="2:54" x14ac:dyDescent="0.25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</row>
    <row r="757" spans="2:54" x14ac:dyDescent="0.25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</row>
    <row r="758" spans="2:54" x14ac:dyDescent="0.25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</row>
    <row r="759" spans="2:54" x14ac:dyDescent="0.25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</row>
    <row r="760" spans="2:54" x14ac:dyDescent="0.25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</row>
    <row r="761" spans="2:54" x14ac:dyDescent="0.25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</row>
    <row r="762" spans="2:54" x14ac:dyDescent="0.25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</row>
    <row r="763" spans="2:54" x14ac:dyDescent="0.25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</row>
    <row r="764" spans="2:54" x14ac:dyDescent="0.25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</row>
    <row r="765" spans="2:54" x14ac:dyDescent="0.25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</row>
    <row r="766" spans="2:54" x14ac:dyDescent="0.25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</row>
    <row r="767" spans="2:54" x14ac:dyDescent="0.25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</row>
    <row r="768" spans="2:54" x14ac:dyDescent="0.25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</row>
    <row r="769" spans="2:54" x14ac:dyDescent="0.25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</row>
    <row r="770" spans="2:54" x14ac:dyDescent="0.25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</row>
    <row r="771" spans="2:54" x14ac:dyDescent="0.25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</row>
    <row r="772" spans="2:54" x14ac:dyDescent="0.25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</row>
    <row r="773" spans="2:54" x14ac:dyDescent="0.25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</row>
    <row r="774" spans="2:54" x14ac:dyDescent="0.25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</row>
    <row r="775" spans="2:54" x14ac:dyDescent="0.25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</row>
    <row r="776" spans="2:54" x14ac:dyDescent="0.25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</row>
    <row r="777" spans="2:54" x14ac:dyDescent="0.25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</row>
    <row r="778" spans="2:54" x14ac:dyDescent="0.25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</row>
    <row r="779" spans="2:54" x14ac:dyDescent="0.25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</row>
    <row r="780" spans="2:54" x14ac:dyDescent="0.25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</row>
    <row r="781" spans="2:54" x14ac:dyDescent="0.25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</row>
    <row r="782" spans="2:54" x14ac:dyDescent="0.25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</row>
    <row r="783" spans="2:54" x14ac:dyDescent="0.25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</row>
    <row r="784" spans="2:54" x14ac:dyDescent="0.25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</row>
    <row r="785" spans="2:54" x14ac:dyDescent="0.25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</row>
    <row r="786" spans="2:54" x14ac:dyDescent="0.25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</row>
    <row r="787" spans="2:54" x14ac:dyDescent="0.25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</row>
    <row r="788" spans="2:54" x14ac:dyDescent="0.25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</row>
    <row r="789" spans="2:54" x14ac:dyDescent="0.25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</row>
    <row r="790" spans="2:54" x14ac:dyDescent="0.25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</row>
    <row r="791" spans="2:54" x14ac:dyDescent="0.25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</row>
    <row r="792" spans="2:54" x14ac:dyDescent="0.25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</row>
    <row r="793" spans="2:54" x14ac:dyDescent="0.25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</row>
    <row r="794" spans="2:54" x14ac:dyDescent="0.25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</row>
    <row r="795" spans="2:54" x14ac:dyDescent="0.25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</row>
    <row r="796" spans="2:54" x14ac:dyDescent="0.25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</row>
    <row r="797" spans="2:54" x14ac:dyDescent="0.25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</row>
    <row r="798" spans="2:54" x14ac:dyDescent="0.25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</row>
    <row r="799" spans="2:54" x14ac:dyDescent="0.25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</row>
    <row r="800" spans="2:54" x14ac:dyDescent="0.25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</row>
    <row r="801" spans="2:54" x14ac:dyDescent="0.25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</row>
    <row r="802" spans="2:54" x14ac:dyDescent="0.25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</row>
    <row r="803" spans="2:54" x14ac:dyDescent="0.25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</row>
    <row r="804" spans="2:54" x14ac:dyDescent="0.25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</row>
    <row r="805" spans="2:54" x14ac:dyDescent="0.25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</row>
    <row r="806" spans="2:54" x14ac:dyDescent="0.25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</row>
    <row r="807" spans="2:54" x14ac:dyDescent="0.25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</row>
    <row r="808" spans="2:54" x14ac:dyDescent="0.25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</row>
    <row r="809" spans="2:54" x14ac:dyDescent="0.25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</row>
    <row r="810" spans="2:54" x14ac:dyDescent="0.25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</row>
    <row r="811" spans="2:54" x14ac:dyDescent="0.25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</row>
    <row r="812" spans="2:54" x14ac:dyDescent="0.25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</row>
    <row r="813" spans="2:54" x14ac:dyDescent="0.25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</row>
    <row r="814" spans="2:54" x14ac:dyDescent="0.25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</row>
    <row r="815" spans="2:54" x14ac:dyDescent="0.25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</row>
    <row r="816" spans="2:54" x14ac:dyDescent="0.25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</row>
    <row r="817" spans="2:54" x14ac:dyDescent="0.25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</row>
    <row r="818" spans="2:54" x14ac:dyDescent="0.25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</row>
    <row r="819" spans="2:54" x14ac:dyDescent="0.25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</row>
    <row r="820" spans="2:54" x14ac:dyDescent="0.25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</row>
    <row r="821" spans="2:54" x14ac:dyDescent="0.25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</row>
    <row r="822" spans="2:54" x14ac:dyDescent="0.25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</row>
    <row r="823" spans="2:54" x14ac:dyDescent="0.25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</row>
    <row r="824" spans="2:54" x14ac:dyDescent="0.25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</row>
    <row r="825" spans="2:54" x14ac:dyDescent="0.25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</row>
    <row r="826" spans="2:54" x14ac:dyDescent="0.25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</row>
    <row r="827" spans="2:54" x14ac:dyDescent="0.25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</row>
    <row r="828" spans="2:54" x14ac:dyDescent="0.25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</row>
    <row r="829" spans="2:54" x14ac:dyDescent="0.25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</row>
    <row r="830" spans="2:54" x14ac:dyDescent="0.25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</row>
    <row r="831" spans="2:54" x14ac:dyDescent="0.25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</row>
    <row r="832" spans="2:54" x14ac:dyDescent="0.25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</row>
    <row r="833" spans="2:54" x14ac:dyDescent="0.25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</row>
    <row r="834" spans="2:54" x14ac:dyDescent="0.25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</row>
    <row r="835" spans="2:54" x14ac:dyDescent="0.25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</row>
    <row r="836" spans="2:54" x14ac:dyDescent="0.25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</row>
    <row r="837" spans="2:54" x14ac:dyDescent="0.25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</row>
    <row r="838" spans="2:54" x14ac:dyDescent="0.25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</row>
    <row r="839" spans="2:54" x14ac:dyDescent="0.25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</row>
    <row r="840" spans="2:54" x14ac:dyDescent="0.25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</row>
    <row r="841" spans="2:54" x14ac:dyDescent="0.25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</row>
    <row r="842" spans="2:54" x14ac:dyDescent="0.25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</row>
    <row r="843" spans="2:54" x14ac:dyDescent="0.25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</row>
    <row r="844" spans="2:54" x14ac:dyDescent="0.25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</row>
    <row r="845" spans="2:54" x14ac:dyDescent="0.25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</row>
    <row r="846" spans="2:54" x14ac:dyDescent="0.25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</row>
    <row r="847" spans="2:54" x14ac:dyDescent="0.25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</row>
    <row r="848" spans="2:54" x14ac:dyDescent="0.25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</row>
    <row r="849" spans="2:54" x14ac:dyDescent="0.25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</row>
    <row r="850" spans="2:54" x14ac:dyDescent="0.25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</row>
    <row r="851" spans="2:54" x14ac:dyDescent="0.25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</row>
    <row r="852" spans="2:54" x14ac:dyDescent="0.25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</row>
    <row r="853" spans="2:54" x14ac:dyDescent="0.25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</row>
    <row r="854" spans="2:54" x14ac:dyDescent="0.25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</row>
    <row r="855" spans="2:54" x14ac:dyDescent="0.25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</row>
    <row r="856" spans="2:54" x14ac:dyDescent="0.25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</row>
    <row r="857" spans="2:54" x14ac:dyDescent="0.25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</row>
    <row r="858" spans="2:54" x14ac:dyDescent="0.25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</row>
    <row r="859" spans="2:54" x14ac:dyDescent="0.25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</row>
    <row r="860" spans="2:54" x14ac:dyDescent="0.25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</row>
    <row r="861" spans="2:54" x14ac:dyDescent="0.25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</row>
    <row r="862" spans="2:54" x14ac:dyDescent="0.25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</row>
    <row r="863" spans="2:54" x14ac:dyDescent="0.25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</row>
    <row r="864" spans="2:54" x14ac:dyDescent="0.25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</row>
    <row r="865" spans="2:54" x14ac:dyDescent="0.25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</row>
    <row r="866" spans="2:54" x14ac:dyDescent="0.25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</row>
    <row r="867" spans="2:54" x14ac:dyDescent="0.25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</row>
    <row r="868" spans="2:54" x14ac:dyDescent="0.25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</row>
    <row r="869" spans="2:54" x14ac:dyDescent="0.25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</row>
    <row r="870" spans="2:54" x14ac:dyDescent="0.25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</row>
    <row r="871" spans="2:54" x14ac:dyDescent="0.25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</row>
    <row r="872" spans="2:54" x14ac:dyDescent="0.25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</row>
    <row r="873" spans="2:54" x14ac:dyDescent="0.25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</row>
    <row r="874" spans="2:54" x14ac:dyDescent="0.25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</row>
    <row r="875" spans="2:54" x14ac:dyDescent="0.25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</row>
    <row r="876" spans="2:54" x14ac:dyDescent="0.25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</row>
    <row r="877" spans="2:54" x14ac:dyDescent="0.25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</row>
    <row r="878" spans="2:54" x14ac:dyDescent="0.25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</row>
    <row r="879" spans="2:54" x14ac:dyDescent="0.25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</row>
    <row r="880" spans="2:54" x14ac:dyDescent="0.25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</row>
    <row r="881" spans="2:54" x14ac:dyDescent="0.25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</row>
    <row r="882" spans="2:54" x14ac:dyDescent="0.25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</row>
    <row r="883" spans="2:54" x14ac:dyDescent="0.25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</row>
    <row r="884" spans="2:54" x14ac:dyDescent="0.25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</row>
    <row r="885" spans="2:54" x14ac:dyDescent="0.25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</row>
    <row r="886" spans="2:54" x14ac:dyDescent="0.25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</row>
    <row r="887" spans="2:54" x14ac:dyDescent="0.25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</row>
    <row r="888" spans="2:54" x14ac:dyDescent="0.25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</row>
    <row r="889" spans="2:54" x14ac:dyDescent="0.25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</row>
    <row r="890" spans="2:54" x14ac:dyDescent="0.25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</row>
    <row r="891" spans="2:54" x14ac:dyDescent="0.25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</row>
    <row r="892" spans="2:54" x14ac:dyDescent="0.25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</row>
    <row r="893" spans="2:54" x14ac:dyDescent="0.25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</row>
    <row r="894" spans="2:54" x14ac:dyDescent="0.25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</row>
    <row r="895" spans="2:54" x14ac:dyDescent="0.25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</row>
    <row r="896" spans="2:54" x14ac:dyDescent="0.25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</row>
    <row r="897" spans="2:54" x14ac:dyDescent="0.25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</row>
    <row r="898" spans="2:54" x14ac:dyDescent="0.25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</row>
    <row r="899" spans="2:54" x14ac:dyDescent="0.25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</row>
    <row r="900" spans="2:54" x14ac:dyDescent="0.25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</row>
    <row r="901" spans="2:54" x14ac:dyDescent="0.25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</row>
    <row r="902" spans="2:54" x14ac:dyDescent="0.25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</row>
    <row r="903" spans="2:54" x14ac:dyDescent="0.25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</row>
    <row r="904" spans="2:54" x14ac:dyDescent="0.25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</row>
    <row r="905" spans="2:54" x14ac:dyDescent="0.25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</row>
    <row r="906" spans="2:54" x14ac:dyDescent="0.25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</row>
    <row r="907" spans="2:54" x14ac:dyDescent="0.25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</row>
    <row r="908" spans="2:54" x14ac:dyDescent="0.25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</row>
    <row r="909" spans="2:54" x14ac:dyDescent="0.25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</row>
    <row r="910" spans="2:54" x14ac:dyDescent="0.25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</row>
    <row r="911" spans="2:54" x14ac:dyDescent="0.25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</row>
    <row r="912" spans="2:54" x14ac:dyDescent="0.25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</row>
    <row r="913" spans="2:54" x14ac:dyDescent="0.25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</row>
    <row r="914" spans="2:54" x14ac:dyDescent="0.25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</row>
    <row r="915" spans="2:54" x14ac:dyDescent="0.25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</row>
    <row r="916" spans="2:54" x14ac:dyDescent="0.25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</row>
    <row r="917" spans="2:54" x14ac:dyDescent="0.25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</row>
    <row r="918" spans="2:54" x14ac:dyDescent="0.25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</row>
    <row r="919" spans="2:54" x14ac:dyDescent="0.25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</row>
    <row r="920" spans="2:54" x14ac:dyDescent="0.25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</row>
    <row r="921" spans="2:54" x14ac:dyDescent="0.25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</row>
    <row r="922" spans="2:54" x14ac:dyDescent="0.25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</row>
    <row r="923" spans="2:54" x14ac:dyDescent="0.25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</row>
    <row r="924" spans="2:54" x14ac:dyDescent="0.25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</row>
    <row r="925" spans="2:54" x14ac:dyDescent="0.25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</row>
    <row r="926" spans="2:54" x14ac:dyDescent="0.25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</row>
    <row r="927" spans="2:54" x14ac:dyDescent="0.25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</row>
    <row r="928" spans="2:54" x14ac:dyDescent="0.25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</row>
    <row r="929" spans="2:54" x14ac:dyDescent="0.25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</row>
    <row r="930" spans="2:54" x14ac:dyDescent="0.25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</row>
    <row r="931" spans="2:54" x14ac:dyDescent="0.25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</row>
    <row r="932" spans="2:54" x14ac:dyDescent="0.25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</row>
    <row r="933" spans="2:54" x14ac:dyDescent="0.25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</row>
    <row r="934" spans="2:54" x14ac:dyDescent="0.25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</row>
    <row r="935" spans="2:54" x14ac:dyDescent="0.25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</row>
    <row r="936" spans="2:54" x14ac:dyDescent="0.25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</row>
    <row r="937" spans="2:54" x14ac:dyDescent="0.25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</row>
    <row r="938" spans="2:54" x14ac:dyDescent="0.25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</row>
    <row r="939" spans="2:54" x14ac:dyDescent="0.25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</row>
    <row r="940" spans="2:54" x14ac:dyDescent="0.25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</row>
    <row r="941" spans="2:54" x14ac:dyDescent="0.25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</row>
    <row r="942" spans="2:54" x14ac:dyDescent="0.25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</row>
    <row r="943" spans="2:54" x14ac:dyDescent="0.25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</row>
    <row r="944" spans="2:54" x14ac:dyDescent="0.25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</row>
    <row r="945" spans="2:54" x14ac:dyDescent="0.25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</row>
    <row r="946" spans="2:54" x14ac:dyDescent="0.25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</row>
    <row r="947" spans="2:54" x14ac:dyDescent="0.25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</row>
    <row r="948" spans="2:54" x14ac:dyDescent="0.25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</row>
    <row r="949" spans="2:54" x14ac:dyDescent="0.25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</row>
  </sheetData>
  <mergeCells count="27">
    <mergeCell ref="B2:AT2"/>
    <mergeCell ref="W5:X5"/>
    <mergeCell ref="Y5:AR5"/>
    <mergeCell ref="B3:AT3"/>
    <mergeCell ref="B60:F60"/>
    <mergeCell ref="M18:X18"/>
    <mergeCell ref="Y18:AJ18"/>
    <mergeCell ref="B53:F53"/>
    <mergeCell ref="Q5:S5"/>
    <mergeCell ref="B47:F47"/>
    <mergeCell ref="G18:L18"/>
    <mergeCell ref="AW5:BD5"/>
    <mergeCell ref="M75:X75"/>
    <mergeCell ref="H5:P5"/>
    <mergeCell ref="B37:F37"/>
    <mergeCell ref="AK75:AR75"/>
    <mergeCell ref="G75:L75"/>
    <mergeCell ref="G73:AT73"/>
    <mergeCell ref="B30:F30"/>
    <mergeCell ref="Y75:AJ75"/>
    <mergeCell ref="T5:V5"/>
    <mergeCell ref="B66:F66"/>
    <mergeCell ref="B20:F20"/>
    <mergeCell ref="B26:F26"/>
    <mergeCell ref="AW19:BD19"/>
    <mergeCell ref="AK18:AR18"/>
    <mergeCell ref="B42:F42"/>
  </mergeCells>
  <conditionalFormatting sqref="G67:AB71 AD67:AF71 AH67:AN71 AP67:AR71">
    <cfRule type="cellIs" dxfId="2" priority="12" operator="equal">
      <formula>0.5</formula>
    </cfRule>
    <cfRule type="cellIs" dxfId="1" priority="13" operator="equal">
      <formula>1</formula>
    </cfRule>
  </conditionalFormatting>
  <conditionalFormatting sqref="G20:AR63 G64:J65 G66:AR66 G67:AB71 AD67:AF71 AH67:AN71 AP67:AR71">
    <cfRule type="cellIs" dxfId="0" priority="14" operator="greaterThan">
      <formula>1</formula>
    </cfRule>
  </conditionalFormatting>
  <conditionalFormatting sqref="G20:AR66">
    <cfRule type="cellIs" dxfId="5" priority="1" operator="equal">
      <formula>0.5</formula>
    </cfRule>
    <cfRule type="cellIs" dxfId="4" priority="2" operator="equal">
      <formula>1</formula>
    </cfRule>
  </conditionalFormatting>
  <conditionalFormatting sqref="K64:AR65">
    <cfRule type="cellIs" dxfId="3" priority="3" operator="greaterThan">
      <formula>1</formula>
    </cfRule>
  </conditionalFormatting>
  <pageMargins left="0.7" right="0.7" top="0.75" bottom="0.75" header="0.3" footer="0.3"/>
  <pageSetup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Gou, Young</cp:lastModifiedBy>
  <dcterms:created xsi:type="dcterms:W3CDTF">2019-11-19T18:02:34Z</dcterms:created>
  <dcterms:modified xsi:type="dcterms:W3CDTF">2026-07-22T13:11:22Z</dcterms:modified>
</cp:coreProperties>
</file>